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2780" windowHeight="14540" tabRatio="600" firstSheet="0" activeTab="0" autoFilterDateGrouping="1"/>
  </bookViews>
  <sheets>
    <sheet xmlns:r="http://schemas.openxmlformats.org/officeDocument/2006/relationships" name="Priority Census Template" sheetId="1" state="visible" r:id="rId1"/>
    <sheet xmlns:r="http://schemas.openxmlformats.org/officeDocument/2006/relationships" name="Census Definitions" sheetId="2" state="visible" r:id="rId2"/>
    <sheet xmlns:r="http://schemas.openxmlformats.org/officeDocument/2006/relationships" name="PROVENANCE" sheetId="3" state="visible" r:id="rId3"/>
  </sheets>
  <externalReferences>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s>
  <definedNames>
    <definedName name="_____dc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_dc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rob2" hidden="1">{"GLI-Income Statement",#N/A,FALSE,"gli";"GLI - Balance Sheet Wksht",#N/A,FALSE,"gli";"GLI-Cash Flow",#N/A,FALSE,"gli";"GLI Qtrly Stats",#N/A,FALSE,"gli"}</definedName>
    <definedName name="__123Graph_A" hidden="1">'[1]Month 8'!#REF!</definedName>
    <definedName name="__123gRAPH_achart" hidden="1">#REF!</definedName>
    <definedName name="__123Graph_AClsCarr" hidden="1">[2]CLOSED!$B$38:$G$38</definedName>
    <definedName name="__123Graph_AClsCorr" hidden="1">[2]CLOSED!$C$22:$L$22</definedName>
    <definedName name="__123Graph_AClsCum" hidden="1">[2]CLOSED!$C$45:$G$45</definedName>
    <definedName name="__123Graph_AClsCust" hidden="1">[2]CLOSED!$C$10:$L$10</definedName>
    <definedName name="__123Graph_AClsLoft" hidden="1">[2]CLOSED!$C$28:$L$28</definedName>
    <definedName name="__123Graph_AClsMar" hidden="1">[2]CLOSED!$C$16:$M$16</definedName>
    <definedName name="__123Graph_AGraph1" hidden="1">[2]CLOSED!$C$19:$M$19</definedName>
    <definedName name="__123Graph_AGraph2" hidden="1">[2]CLOSED!$C$13:$M$13</definedName>
    <definedName name="__123Graph_AGraph3" hidden="1">[2]CLOSED!$C$41:$M$41</definedName>
    <definedName name="__123Graph_AGraph4" hidden="1">[2]CLOSED!$C$31:$M$31</definedName>
    <definedName name="__123Graph_AYTDVar" hidden="1">[2]CLOSED!$G$59:$G$65</definedName>
    <definedName name="__123Graph_B" hidden="1">'[1]Month 8'!#REF!</definedName>
    <definedName name="__123Graph_BClsCarr" hidden="1">[2]CLOSED!$B$39:$G$39</definedName>
    <definedName name="__123Graph_BClsCorr" hidden="1">[2]CLOSED!$C$23:$L$23</definedName>
    <definedName name="__123Graph_BClsCum" hidden="1">[2]CLOSED!$C$46:$G$46</definedName>
    <definedName name="__123Graph_BClsCust" hidden="1">[2]CLOSED!$C$11:$L$11</definedName>
    <definedName name="__123Graph_BClsLoft" hidden="1">[2]CLOSED!$C$29:$L$29</definedName>
    <definedName name="__123Graph_BClsMar" hidden="1">[2]CLOSED!$C$17:$M$17</definedName>
    <definedName name="__123Graph_BYTDVar" hidden="1">[2]CLOSED!$H$59:$H$65</definedName>
    <definedName name="__123Graph_C" hidden="1">'[1]Month 8'!#REF!</definedName>
    <definedName name="__123Graph_CClsCarr" hidden="1">[2]CLOSED!$B$40:$G$40</definedName>
    <definedName name="__123Graph_CClsCorr" hidden="1">[2]CLOSED!$C$24:$L$24</definedName>
    <definedName name="__123Graph_CClsCum" hidden="1">[2]CLOSED!$C$47:$G$47</definedName>
    <definedName name="__123Graph_CClsCust" hidden="1">[2]CLOSED!$C$12:$L$12</definedName>
    <definedName name="__123Graph_CClsLoft" hidden="1">[2]CLOSED!$C$30:$L$30</definedName>
    <definedName name="__123Graph_CClsMar" hidden="1">[2]CLOSED!$C$18:$M$18</definedName>
    <definedName name="__123Graph_CYTDVar" hidden="1">[2]CLOSED!$I$59:$I$65</definedName>
    <definedName name="__123Graph_D" hidden="1">'[1]Month 8'!#REF!</definedName>
    <definedName name="__123Graph_DYTDVar" hidden="1">[2]CLOSED!$J$59:$J$65</definedName>
    <definedName name="__123Graph_EYTDVar" hidden="1">[2]CLOSED!$K$59:$K$65</definedName>
    <definedName name="__123Graph_NA" hidden="1">'[3]Plan P&amp;L'!#REF!</definedName>
    <definedName name="__123Graph_X" hidden="1">[4]TtmX!$E$30:$E$63</definedName>
    <definedName name="__123Graph_XClsCarr" hidden="1">[2]CLOSED!$B$37:$G$37</definedName>
    <definedName name="__123Graph_XClsCorr" hidden="1">[2]CLOSED!$C$7:$L$7</definedName>
    <definedName name="__123Graph_XClsCum" hidden="1">[2]CLOSED!$C$37:$G$37</definedName>
    <definedName name="__123Graph_XClsCust" hidden="1">[2]CLOSED!$C$7:$N$7</definedName>
    <definedName name="__123Graph_XClsLoft" hidden="1">[2]CLOSED!$C$7:$N$7</definedName>
    <definedName name="__123Graph_XClsMar" hidden="1">[2]CLOSED!$C$7:$N$7</definedName>
    <definedName name="__123Graph_XGraph1" hidden="1">[2]CLOSED!$C$7:$M$7</definedName>
    <definedName name="__123Graph_XGraph2" hidden="1">[2]CLOSED!$C$7:$M$7</definedName>
    <definedName name="__123Graph_XGraph3" hidden="1">[2]CLOSED!$C$7:$M$7</definedName>
    <definedName name="__123Graph_XGraph4" hidden="1">[2]CLOSED!$C$7:$M$7</definedName>
    <definedName name="__123Graph_XYTDVar" hidden="1">[2]CLOSED!$A$59:$A$70</definedName>
    <definedName name="__12Graph_X" hidden="1">'[5]MAI Plan P&amp;L'!#REF!</definedName>
    <definedName name="__abc" hidden="1">'[6]13'!$D$35:$D$35</definedName>
    <definedName name="__dc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dc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FDS_HYPERLINK_TOGGLE_STATE__" hidden="1">"ON"</definedName>
    <definedName name="__rob2" hidden="1">{"GLI-Income Statement",#N/A,FALSE,"gli";"GLI - Balance Sheet Wksht",#N/A,FALSE,"gli";"GLI-Cash Flow",#N/A,FALSE,"gli";"GLI Qtrly Stats",#N/A,FALSE,"gli"}</definedName>
    <definedName name="_1__123Graph_ACHART_10" hidden="1">[7]CapitalExp!$D$36:$D$36</definedName>
    <definedName name="_10__123Graph_ACHART_9" hidden="1">[7]CapitalExp!$D$36:$D$36</definedName>
    <definedName name="_11__123Graph_BCHART_10" hidden="1">[7]CapitalExp!$G$34:$G$34</definedName>
    <definedName name="_12__123Graph_BCHART_11" hidden="1">[7]CapitalExp!$G$34:$G$34</definedName>
    <definedName name="_123graph" hidden="1">'[8]MAI Plan P&amp;L'!#REF!</definedName>
    <definedName name="_123graph_p" hidden="1">'[8]MAI Plan P&amp;L'!#REF!</definedName>
    <definedName name="_124" hidden="1">'[8]MAI Plan P&amp;L'!#REF!</definedName>
    <definedName name="_125" hidden="1">'[8]MAI Plan P&amp;L'!#REF!</definedName>
    <definedName name="_12Graph" hidden="1">'[8]MAI Plan P&amp;L'!#REF!</definedName>
    <definedName name="_13__123Graph_BCHART_12" hidden="1">[7]CapitalExp!$G$34:$G$34</definedName>
    <definedName name="_14__123Graph_BCHART_13" hidden="1">[7]CapitalExp!$G$34:$G$34</definedName>
    <definedName name="_15__123Graph_BCHART_14" hidden="1">[7]CapitalExp!$G$34:$G$34</definedName>
    <definedName name="_16__123Graph_BCHART_15" hidden="1">[7]CapitalExp!$G$34:$G$34</definedName>
    <definedName name="_17__123Graph_BCHART_16" hidden="1">[7]CapitalExp!$G$34:$G$34</definedName>
    <definedName name="_18__123Graph_BCHART_17" hidden="1">[7]CapitalExp!$G$34:$G$34</definedName>
    <definedName name="_19__123Graph_BCHART_18" hidden="1">[7]CapitalExp!$G$34:$G$34</definedName>
    <definedName name="_2__123Graph_ACHART_11" hidden="1">[7]CapitalExp!$D$36:$D$36</definedName>
    <definedName name="_20__123Graph_BCHART_8" hidden="1">[7]CapitalExp!$G$34:$G$34</definedName>
    <definedName name="_21__123Graph_BCHART_9" hidden="1">[7]CapitalExp!$G$34:$G$34</definedName>
    <definedName name="_22__123Graph_CCHART_10" hidden="1">[7]CapitalExp!$H$34:$H$34</definedName>
    <definedName name="_23__123Graph_CCHART_11" hidden="1">[7]CapitalExp!$H$34:$H$34</definedName>
    <definedName name="_24__123Graph_CCHART_12" hidden="1">[7]CapitalExp!$H$34:$H$34</definedName>
    <definedName name="_25__123Graph_CCHART_13" hidden="1">[7]CapitalExp!$H$34:$H$34</definedName>
    <definedName name="_26__123Graph_CCHART_14" hidden="1">[7]CapitalExp!$H$34:$H$34</definedName>
    <definedName name="_27__123Graph_CCHART_15" hidden="1">[7]CapitalExp!$H$34:$H$34</definedName>
    <definedName name="_28__123Graph_CCHART_16" hidden="1">[7]CapitalExp!$H$34:$H$34</definedName>
    <definedName name="_29__123Graph_CCHART_17" hidden="1">[7]CapitalExp!$H$34:$H$34</definedName>
    <definedName name="_3__123Graph_ACHART_12" hidden="1">[7]CapitalExp!$D$36:$D$36</definedName>
    <definedName name="_30__123Graph_CCHART_18" hidden="1">[7]CapitalExp!$H$34:$H$34</definedName>
    <definedName name="_31__123Graph_CCHART_8" hidden="1">[7]CapitalExp!$H$34:$H$34</definedName>
    <definedName name="_32__123Graph_CCHART_9" hidden="1">[7]CapitalExp!$H$34:$H$34</definedName>
    <definedName name="_33__123Graph_LBL_ACHART_10" hidden="1">[7]CapitalExp!$D$27:$D$27</definedName>
    <definedName name="_34__123Graph_LBL_ACHART_11" hidden="1">[7]CapitalExp!$D$27:$D$27</definedName>
    <definedName name="_35__123Graph_LBL_ACHART_12" hidden="1">[7]CapitalExp!$D$27:$D$27</definedName>
    <definedName name="_36__123Graph_LBL_ACHART_13" hidden="1">[7]CapitalExp!$D$27:$D$27</definedName>
    <definedName name="_37__123Graph_LBL_ACHART_14" hidden="1">[7]CapitalExp!$D$27:$D$27</definedName>
    <definedName name="_38__123Graph_LBL_ACHART_15" hidden="1">[7]CapitalExp!$D$27:$D$27</definedName>
    <definedName name="_39__123Graph_LBL_ACHART_16" hidden="1">[7]CapitalExp!$D$27:$D$27</definedName>
    <definedName name="_4__123Graph_ACHART_13" hidden="1">[7]CapitalExp!$D$36:$D$36</definedName>
    <definedName name="_40__123Graph_LBL_ACHART_17" hidden="1">[7]CapitalExp!$D$27:$D$27</definedName>
    <definedName name="_41__123Graph_LBL_ACHART_18" hidden="1">[7]CapitalExp!$D$27:$D$27</definedName>
    <definedName name="_42__123Graph_LBL_ACHART_8" hidden="1">[7]CapitalExp!$D$27:$D$27</definedName>
    <definedName name="_43__123Graph_LBL_ACHART_9" hidden="1">[7]CapitalExp!$D$27:$D$27</definedName>
    <definedName name="_44__123Graph_LBL_BCHART_10" hidden="1">[7]CapitalExp!$E$26:$E$26</definedName>
    <definedName name="_45__123Graph_LBL_BCHART_11" hidden="1">[7]CapitalExp!$E$26:$E$26</definedName>
    <definedName name="_46__123Graph_LBL_BCHART_12" hidden="1">[7]CapitalExp!$E$26:$E$26</definedName>
    <definedName name="_47__123Graph_LBL_BCHART_13" hidden="1">[7]CapitalExp!$E$26:$E$26</definedName>
    <definedName name="_48__123Graph_LBL_BCHART_14" hidden="1">[7]CapitalExp!$E$26:$E$26</definedName>
    <definedName name="_49__123Graph_LBL_BCHART_15" hidden="1">[7]CapitalExp!$E$26:$E$26</definedName>
    <definedName name="_5__123Graph_ACHART_14" hidden="1">[7]CapitalExp!$D$36:$D$36</definedName>
    <definedName name="_50__123Graph_LBL_BCHART_16" hidden="1">[7]CapitalExp!$E$26:$E$26</definedName>
    <definedName name="_51__123Graph_LBL_BCHART_17" hidden="1">[7]CapitalExp!$E$26:$E$26</definedName>
    <definedName name="_52__123Graph_LBL_BCHART_18" hidden="1">[7]CapitalExp!$E$26:$E$26</definedName>
    <definedName name="_53__123Graph_LBL_BCHART_8" hidden="1">[7]CapitalExp!$E$26:$E$26</definedName>
    <definedName name="_54__123Graph_LBL_BCHART_9" hidden="1">[7]CapitalExp!$E$26:$E$26</definedName>
    <definedName name="_55__123Graph_LBL_CCHART_10" hidden="1">[7]CapitalExp!$H$27:$H$27</definedName>
    <definedName name="_56__123Graph_LBL_CCHART_11" hidden="1">[7]CapitalExp!$H$27:$H$27</definedName>
    <definedName name="_57__123Graph_LBL_CCHART_12" hidden="1">[7]CapitalExp!$H$27:$H$27</definedName>
    <definedName name="_58__123Graph_LBL_CCHART_13" hidden="1">[7]CapitalExp!$H$27:$H$27</definedName>
    <definedName name="_59__123Graph_LBL_CCHART_14" hidden="1">[7]CapitalExp!$H$27:$H$27</definedName>
    <definedName name="_6__123Graph_ACHART_15" hidden="1">[7]CapitalExp!$D$36:$D$36</definedName>
    <definedName name="_60__123Graph_LBL_CCHART_15" hidden="1">[7]CapitalExp!$H$27:$H$27</definedName>
    <definedName name="_61__123Graph_LBL_CCHART_16" hidden="1">[7]CapitalExp!$H$27:$H$27</definedName>
    <definedName name="_62__123Graph_LBL_CCHART_17" hidden="1">[7]CapitalExp!$H$27:$H$27</definedName>
    <definedName name="_63__123Graph_LBL_CCHART_18" hidden="1">[7]CapitalExp!$H$27:$H$27</definedName>
    <definedName name="_64__123Graph_LBL_CCHART_8" hidden="1">[7]CapitalExp!$H$27:$H$27</definedName>
    <definedName name="_65__123Graph_LBL_CCHART_9" hidden="1">[7]CapitalExp!$H$27:$H$27</definedName>
    <definedName name="_7__123Graph_ACHART_16" hidden="1">[7]CapitalExp!$D$36:$D$36</definedName>
    <definedName name="_8__123Graph_ACHART_17" hidden="1">[7]CapitalExp!$D$36:$D$36</definedName>
    <definedName name="_9__123Graph_ACHART_18" hidden="1">[7]CapitalExp!$D$36:$D$36</definedName>
    <definedName name="_Fill" hidden="1">#REF!</definedName>
    <definedName name="_graph_Y" hidden="1">'[8]MAI Plan P&amp;L'!#REF!</definedName>
    <definedName name="_Key1" hidden="1">[9]Log!$G$19:$G$28</definedName>
    <definedName name="_Order1" hidden="1">0</definedName>
    <definedName name="_Order2" hidden="1">0</definedName>
    <definedName name="_Regression_Int" hidden="1">1</definedName>
    <definedName name="_Sort" hidden="1">[9]Log!$B$19:$J$28</definedName>
    <definedName name="_Table1_In1" hidden="1">#REF!</definedName>
    <definedName name="_Table1_In1_Dollar" hidden="1">#REF!</definedName>
    <definedName name="_Table1_In1_Dollar2" hidden="1">#REF!</definedName>
    <definedName name="_Table1_In1_Euro" hidden="1">#REF!</definedName>
    <definedName name="_Table1_Out" hidden="1">#REF!</definedName>
    <definedName name="_Table1_Out_Dollar" hidden="1">#REF!</definedName>
    <definedName name="_Table2_In1" hidden="1">#REF!</definedName>
    <definedName name="_Table2_In1_Dollar" hidden="1">#REF!</definedName>
    <definedName name="_Table2_In2" hidden="1">#REF!</definedName>
    <definedName name="_Table2_Out" hidden="1">#REF!</definedName>
    <definedName name="_Table2_Out_Dollar" hidden="1">#REF!</definedName>
    <definedName name="_xx" hidden="1">'[10]10'!#REF!</definedName>
    <definedName name="a"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dd" hidden="1">'[8]MAI Plan P&amp;L'!#REF!</definedName>
    <definedName name="ADSF" hidden="1">'[8]MAI Plan P&amp;L'!#REF!</definedName>
    <definedName name="ADSFASDFASDFA" hidden="1">'[8]MAI Plan P&amp;L'!#REF!</definedName>
    <definedName name="anscount" hidden="1">1</definedName>
    <definedName name="AS2DocOpenMode" hidden="1">"AS2DocumentEdit"</definedName>
    <definedName name="AS2HasNoAutoHeaderFooter" hidden="1">" "</definedName>
    <definedName name="AS2NamedRange" hidden="1">6</definedName>
    <definedName name="AS2ReportLS" hidden="1">1</definedName>
    <definedName name="AS2SyncStepLS" hidden="1">0</definedName>
    <definedName name="AS2TickmarkLS" hidden="1">#REF!</definedName>
    <definedName name="AS2VersionLS" hidden="1">300</definedName>
    <definedName name="asdf" hidden="1">{"GTI monthly IS",#N/A,FALSE,"gti";#N/A,#N/A,FALSE,"gti"}</definedName>
    <definedName name="asdfff"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ATOT">[11]Drivers!$E$5</definedName>
    <definedName name="BG_Del" hidden="1">15</definedName>
    <definedName name="BG_Ins" hidden="1">4</definedName>
    <definedName name="BG_Mod" hidden="1">6</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ategoryList">[12]Lists!$B$14:$B$21</definedName>
    <definedName name="ChartSubtitle" hidden="1">#REF!</definedName>
    <definedName name="ChartTitle" hidden="1">#REF!</definedName>
    <definedName name="CIQWBGuid" hidden="1">"0a97a08e-eb22-42f3-8435-0a8dc89c9833"</definedName>
    <definedName name="circ">[13]LBO!$AB$133</definedName>
    <definedName name="Compco1" hidden="1">{"Page1",#N/A,FALSE,"CompCo";"Page2",#N/A,FALSE,"CompCo"}</definedName>
    <definedName name="Compco2" hidden="1">{"Page1",#N/A,FALSE,"CompCo";"Page2",#N/A,FALSE,"CompCo"}</definedName>
    <definedName name="Confidentiality" hidden="1">#REF!</definedName>
    <definedName name="cv" hidden="1">[4]TtmX!$E$30:$E$63</definedName>
    <definedName name="d" hidden="1">#REF!</definedName>
    <definedName name="DateRangePrice" hidden="1">OFFSET([14]!DateRangePriceMain,5,0,COUNTA([14]!DateRangePriceMain)-COUNTA(#REF!),1)</definedName>
    <definedName name="DateRangePriceMain" hidden="1">#REF!</definedName>
    <definedName name="DateStart" hidden="1">#REF!</definedName>
    <definedName name="dc"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dcdc"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ddd" hidden="1">#REF!</definedName>
    <definedName name="ENG_BI_EXE_NAME" hidden="1">"BICORE.EXE"</definedName>
    <definedName name="ENG_BI_EXEC_CMD_ARGS" hidden="1">"03304607807110111912104105406905305405205005305505305505305805504903205405812408707909108206509208405809512111611007111111311709711912809404610006811211411210111512108207709312912809211711910907111610912110411112110204709207211111311709711913007307209"</definedName>
    <definedName name="ENG_BI_EXEC_CMD_ARGS_10" hidden="1">"08610111311810206503405305304804303904806204101106105208310512011511412011006601506108510111511106701006909109811511607406903708610111311711007003405305305004905404905205304805904103304707103301106504708810211511607101006405207011112210511811611011810"</definedName>
    <definedName name="ENG_BI_EXEC_CMD_ARGS_11" hidden="1">"8111116071126124084082072074082078077080069087066078087061053130"</definedName>
    <definedName name="ENG_BI_EXEC_CMD_ARGS_2" hidden="1">"80620400530480520441250410520751230930700790700780881000670880770690650540490491291230720710840980870700610621261241001121181101181061251010720710840700860860730870610860720840830950831261280951161191051271061161050730670680690840690810790800681100971"</definedName>
    <definedName name="ENG_BI_EXEC_CMD_ARGS_3" hidden="1">"24054049053095101117112134132095116119106119101116105073066094090070082070072098119121129128095121126098112110100077069078075072079077076062101119126124100112121103108114108067083082081066082089082070077078068067108126102033072104109117032080123111121"</definedName>
    <definedName name="ENG_BI_EXEC_CMD_ARGS_4" hidden="1">"11704503307711010305112513210211311710710910610406708908708207808706709306608608407212512710011212610510910510807107408308907307008209209306508608906906608806906505304904108109811012609811512603205405304906313412309911711809911210510307507308709607006"</definedName>
    <definedName name="ENG_BI_EXEC_CMD_ARGS_5" hidden="1">"50910700790730680690890690700600490360731021001051091021061140410570490490631261241001121211031081141080700770830900700690820730830680700570490490631261241001121211031081141080700770830900700690820870890650910910620500570500551301230991171171071171051"</definedName>
    <definedName name="ENG_BI_EXEC_CMD_ARGS_6" hidden="1">"03072086083086077083083084081076079068077066085074061055054032086106121036055049050058125127100112126105109105108068086087082081084078093081083088070083085072065088074061057056033077106122033055048053059125132104112118110119098120101081070083076086078"</definedName>
    <definedName name="ENG_BI_EXEC_CMD_ARGS_7" hidden="1">"07707407906908906909208906106907811012211011511211410910511511607101706108311011611611011111406701006909411510511906301106408511910611408207503308610610911810606103807609712313003405106701106107311010311912112112308109712411612011611410403708610611711"</definedName>
    <definedName name="ENG_BI_EXEC_CMD_ARGS_8" hidden="1">"71050660350851181171050390470710170610801061161161241111181050320951061081211060620350760700731260880791070880760920870780901190650660340560710100640891151181191161051050671201171111011081171061161100360910971171261010650390710981121151050390320560690"</definedName>
    <definedName name="ENG_BI_EXEC_CMD_ARGS_9" hidden="1">"11060056086116106114066015060092090076087106115119105114082102109110039087097117118102066034081070083092095082038037048063014060072071078106116102032095098109122101065039109106124053052053096098116112038037047071039011060076112110117097114126073077041"</definedName>
    <definedName name="ENG_BI_GEN_LIC" hidden="1">"0"</definedName>
    <definedName name="ENG_BI_GEN_LIC_WS" hidden="1">"True"</definedName>
    <definedName name="ENG_BI_LBI" hidden="1">"URJXRKU1PP"</definedName>
    <definedName name="ENG_BI_REPOS_FILE" hidden="1">"\\192.168.1.7\Mas500\SMI\alchemex.svd"</definedName>
    <definedName name="ENG_BI_REPOS_PATH" hidden="1">"\\192.168.1.7\Mas500\SMI\"</definedName>
    <definedName name="ENG_BI_TLA" hidden="1">"141;181;83;156;204;182;74;153;110;68;138;48;148;109;92;187;77;254;183;128;109;209;199;235;259;138;131;66;234;104;167;111"</definedName>
    <definedName name="ery" hidden="1">[2]CLOSED!$C$53:$G$53</definedName>
    <definedName name="ev.Calculation" hidden="1">-4135</definedName>
    <definedName name="ev.Initialized" hidden="1">FALSE</definedName>
    <definedName name="ewr" hidden="1">[2]CLOSED!$C$52:$G$52</definedName>
    <definedName name="Exh5.2" hidden="1">#REF!</definedName>
    <definedName name="fdsfs" hidden="1">{"GLI-Income Statement",#N/A,FALSE,"gli";"GLI - Balance Sheet Wksht",#N/A,FALSE,"gli";"GLI-Cash Flow",#N/A,FALSE,"gli";"GLI Qtrly Stats",#N/A,FALSE,"gli"}</definedName>
    <definedName name="fgh" hidden="1">[2]CLOSED!$C$37:$G$37</definedName>
    <definedName name="FirstPlotDate" hidden="1">#REF!</definedName>
    <definedName name="five" hidden="1">{"ONE",#N/A,FALSE,"Sheet1"}</definedName>
    <definedName name="Footnote5" hidden="1">#REF!</definedName>
    <definedName name="Footnote6" hidden="1">#REF!</definedName>
    <definedName name="Footnote7" hidden="1">#REF!</definedName>
    <definedName name="Footnote8" hidden="1">#REF!</definedName>
    <definedName name="gg" hidden="1">'[8]MAI Plan P&amp;L'!#REF!</definedName>
    <definedName name="GraphPage" hidden="1">#REF!</definedName>
    <definedName name="Gridlines" hidden="1">#REF!</definedName>
    <definedName name="HISTORICAL" hidden="1">{"GTI monthly IS",#N/A,FALSE,"gti";#N/A,#N/A,FALSE,"gti"}</definedName>
    <definedName name="hn.Delete015" hidden="1">'[15]CREDIT STATS'!$B$9:$K$14,'[15]CREDIT STATS'!$O$11:$X$18,'[15]CREDIT STATS'!$B$28:$K$37,'[15]CREDIT STATS'!$O$28:$X$32,'[15]CREDIT STATS'!$O$46:$X$46</definedName>
    <definedName name="hn.ExtDb" hidden="1">FALSE</definedName>
    <definedName name="hn.ModelType" hidden="1">"DEAL"</definedName>
    <definedName name="hn.ModelVersion" hidden="1">1</definedName>
    <definedName name="hn.NoUpload" hidden="1">0</definedName>
    <definedName name="HTML_CodePage" hidden="1">1252</definedName>
    <definedName name="HTML_Control" hidden="1">{"'Backlog'!$A$36:$M$42"}</definedName>
    <definedName name="HTML_Description" hidden="1">""</definedName>
    <definedName name="HTML_Email" hidden="1">""</definedName>
    <definedName name="HTML_Header" hidden="1">"FY 1998 BACKLOG REPORT ($000's)"</definedName>
    <definedName name="HTML_LastUpdate" hidden="1">"8/5/98"</definedName>
    <definedName name="HTML_LineAfter" hidden="1">FALSE</definedName>
    <definedName name="HTML_LineBefore" hidden="1">FALSE</definedName>
    <definedName name="HTML_Name" hidden="1">"Brian Good"</definedName>
    <definedName name="HTML_OBDlg2" hidden="1">TRUE</definedName>
    <definedName name="HTML_OBDlg4" hidden="1">TRUE</definedName>
    <definedName name="HTML_OS" hidden="1">0</definedName>
    <definedName name="HTML_PathFile" hidden="1">"\\Mercury\AccuWebDepts\Finance\BOD\julybacklog.htm"</definedName>
    <definedName name="HTML_Title" hidden="1">"Backlog"</definedName>
    <definedName name="IndType" hidden="1">#REF!</definedName>
    <definedName name="INFO_BI_EXE_NAME" hidden="1">"BICORE.EXE"</definedName>
    <definedName name="INFO_EXE_SERVER_PATH" hidden="1">"C:\Program Files (x86)\Sage Software\Sage MAS 500 Client\Managed Applications\SMIFramework\BICORE.EXE"</definedName>
    <definedName name="INFO_INSTANCE_ID" hidden="1">"0"</definedName>
    <definedName name="INFO_INSTANCE_NAME" hidden="1">"BCG Financial Data (updated 5-5-16)_20160511_16_01_07_011.xls"</definedName>
    <definedName name="INFO_REPORT_CODE" hidden="1">"-CUSTOM"</definedName>
    <definedName name="INFO_REPORT_ID" hidden="1">"2"</definedName>
    <definedName name="INFO_REPORT_NAME" hidden="1">"BCG Financial Data (updated 5-5-16)"</definedName>
    <definedName name="INFO_RUN_USER" hidden="1">""</definedName>
    <definedName name="INFO_RUN_WORKSTATION" hidden="1">"BCGSVR2"</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ASH_DIVIDENDS_NET_INCOME_FDIC" hidden="1">"c6738"</definedName>
    <definedName name="IQ_CASH_IN_PROCESS_FDIC" hidden="1">"c6386"</definedName>
    <definedName name="IQ_CCE_FDIC" hidden="1">"c6296"</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EARNING_ASSETS_FDIC" hidden="1">"c6360"</definedName>
    <definedName name="IQ_EARNING_ASSETS_YIELD_FDIC" hidden="1">"c6724"</definedName>
    <definedName name="IQ_EARNINGS_COVERAGE_NET_CHARGE_OFFS_FDIC" hidden="1">"c6735"</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PS" hidden="1">"IQ_EPS"</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_EPS_SURPRISE" hidden="1">"c1635"</definedName>
    <definedName name="IQ_ESTIMATED_ASSESSABLE_DEPOSITS_FDIC" hidden="1">"c6490"</definedName>
    <definedName name="IQ_ESTIMATED_INSURED_DEPOSITS_FDIC" hidden="1">"c6491"</definedName>
    <definedName name="IQ_EXPENSE_CODE_" hidden="1">2178</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H">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 hidden="1">"c6517"</definedName>
    <definedName name="IQ_FX_CONTRACTS_SPOT_FDIC" hidden="1">"c6356"</definedName>
    <definedName name="IQ_FY">1000</definedName>
    <definedName name="IQ_FY_DATE" hidden="1">"IQ_FY_DATE"</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W_AMORT_BR" hidden="1">"c532"</definedName>
    <definedName name="IQ_GW_INTAN_AMORT_BR" hidden="1">"c1470"</definedName>
    <definedName name="IQ_GW_INTAN_AMORT_CF_BR" hidden="1">"c1473"</definedName>
    <definedName name="IQ_HELD_MATURITY_FDIC" hidden="1">"c6408"</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_DATE" hidden="1">"IQ_LTM_DATE"</definedName>
    <definedName name="IQ_LTMMONTH" hidden="1">120000</definedName>
    <definedName name="IQ_MACRO_SURVEY_CONSUMER_SENTIMENT" hidden="1">"c20808"</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EY_MARKET_DEPOSIT_ACCOUNTS_FDIC" hidden="1">"c6553"</definedName>
    <definedName name="IQ_MONTH">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43019.8192476852</definedName>
    <definedName name="IQ_NAV_ACT_OR_EST" hidden="1">"c2225"</definedName>
    <definedName name="IQ_NET_CHARGE_OFFS_FDIC" hidden="1">"c6641"</definedName>
    <definedName name="IQ_NET_CHARGE_OFFS_LOANS_FDIC" hidden="1">"c6751"</definedName>
    <definedName name="IQ_NET_DEBT_ISSUED_BR" hidden="1">"c753"</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G_TOTAL_OIL_PRODUCTON" hidden="1">"c2059"</definedName>
    <definedName name="IQ_OPENED55" hidden="1">1</definedName>
    <definedName name="IQ_OPER_INC_BR" hidden="1">"c850"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INSURED_FDIC" hidden="1">"c6374"</definedName>
    <definedName name="IQ_PLEDGED_SECURITIES_FDIC" hidden="1">"c6401"</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RETURN_ASSETS_FDIC" hidden="1">"c6731"</definedName>
    <definedName name="IQ_PRICEDATETIME" hidden="1">"IQ_PRICEDATETIME"</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BROK" hidden="1">"c1115"</definedName>
    <definedName name="IQ_RETURN_ASSETS_FDIC" hidden="1">"c6730"</definedName>
    <definedName name="IQ_RETURN_EQUITY_BROK" hidden="1">"c1120"</definedName>
    <definedName name="IQ_RETURN_EQUITY_FDIC" hidden="1">"c6732"</definedName>
    <definedName name="IQ_REVALUATION_GAINS_FDIC" hidden="1">"c6428"</definedName>
    <definedName name="IQ_REVALUATION_LOSSES_FDIC" hidden="1">"c6429"</definedName>
    <definedName name="IQ_RISK_WEIGHTED_ASSETS_FDIC" hidden="1">"c6370"</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OTAL_UNUSUAL_BR" hidden="1">"c5517"</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50000</definedName>
    <definedName name="IQ_WRITTEN_OPTION_CONTRACTS_FDIC" hidden="1">"c6509"</definedName>
    <definedName name="IQ_WRITTEN_OPTION_CONTRACTS_FX_RISK_FDIC" hidden="1">"c6514"</definedName>
    <definedName name="IQ_WRITTEN_OPTION_CONTRACTS_NON_FX_IR_FDIC" hidden="1">"c6519"</definedName>
    <definedName name="IQ_YTD">3000</definedName>
    <definedName name="IQ_YTDMONTH" hidden="1">130000</definedName>
    <definedName name="IsColHidden" hidden="1">FALSE</definedName>
    <definedName name="IsLTMColHidden" hidden="1">FALSE</definedName>
    <definedName name="ItemStart" hidden="1">#REF!</definedName>
    <definedName name="jkl" hidden="1">[4]TtmX!$C$30:$C$63</definedName>
    <definedName name="LABOR_CONT_COST"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abor_Hrs_Summary"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l"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ongh" hidden="1">{"GTI monthly IS",#N/A,FALSE,"gti";#N/A,#N/A,FALSE,"gti"}</definedName>
    <definedName name="LotusGraphChart1" hidden="1">#REF!</definedName>
    <definedName name="lotusgraphchart1b" hidden="1">#REF!</definedName>
    <definedName name="lotusgraphchart1x" hidden="1">#REF!</definedName>
    <definedName name="m"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MLNK00522aed1ac04fa386ef3c502734a248" hidden="1">  '[16]Output P&amp;L'!$B$4:$S$58</definedName>
    <definedName name="MLNK00b407e82b7f45e98856720ce1535066" hidden="1">   '[16]EBITDA Waterfall'!$1:$1048576</definedName>
    <definedName name="MLNK013e1471720441ca88e30931fbacf491" hidden="1">   '[16]Seller Payout Analysis'!$1:$1048576</definedName>
    <definedName name="MLNK01e7a09a0ab04ec59e9f222d00073bf9" hidden="1">   '[17]S&amp;U and Cap Table - PWC SA'!$B$11:$L$47</definedName>
    <definedName name="MLNK0290a69e124142dfa9084bcff79dee49" hidden="1">   '[16]Consolidated P&amp;L'!$1:$1048576</definedName>
    <definedName name="MLNK03be3dc5b7bd4b38854e34abd71d1ab1" hidden="1">   '[18]EBITDA Waterfall'!$A$13:$T$105</definedName>
    <definedName name="MLNK040343d6cdf64546b7268398a1f4ea2f" hidden="1">   '[16]AMCP Comparison'!$B$4:$L$67</definedName>
    <definedName name="MLNK04c042fb59594eeca72d608856bb212f" hidden="1">   [17]PPR!$A$1:$T$27</definedName>
    <definedName name="MLNK04d1526c74404e54b43e62eb824db338" hidden="1">   '[18]Returns Sensitivities'!$1:$1048576</definedName>
    <definedName name="MLNK051b6543233d4d50a9b5766b176e5b26" hidden="1">   '[17]EBITDA Waterfall'!$1:$1048576</definedName>
    <definedName name="MLNK0753a8b71c2946e1885c95ff88ee84e4" hidden="1">   '[16]Consolidated P&amp;L'!$1:$1048576</definedName>
    <definedName name="MLNK075ff8deecf941879d54a14f41bbf71e" hidden="1">   '[16]Seller Payout Analysis'!$1:$1048576</definedName>
    <definedName name="MLNK0826b8ddd29444f3a9252ff7a380ee15" hidden="1">  '[16]Consolidated P&amp;L'!$1:$1048576</definedName>
    <definedName name="MLNK09637d069b4341f88d7f7e543529866e" hidden="1">   [18]Synergies!$1:$1048576</definedName>
    <definedName name="MLNK098599b0d1e84c4f9de4b50d2b9c8d32" hidden="1">   '[16]Seller Payout Analysis'!$1:$1048576</definedName>
    <definedName name="MLNK09d42c788405469bb4948b46920e7e14" hidden="1">   '[16]Seller Payout Analysis'!$1:$1048576</definedName>
    <definedName name="MLNK09e216f55c16428c82e59375eef855fb" hidden="1">   '[16]Consolidated P&amp;L'!$1:$1048576</definedName>
    <definedName name="MLNK09f1006f884f4fa5a85b0499fb4226d6" hidden="1">   '[18]EBITDA Waterfall'!$1:$1048576</definedName>
    <definedName name="MLNK0a1c44372e294997a5a819cad27b4804" hidden="1">   [17]PPR!$1:$1048576</definedName>
    <definedName name="MLNK0a3891d52be4468fb7d8ad4c55b110f7" hidden="1">   '[18]Returns Sensitivities'!$B$4:$T$49</definedName>
    <definedName name="MLNK0a88da1c7b644106ba8a23f687e49f65" hidden="1">   [17]Sheet1!$C$15:$M$21</definedName>
    <definedName name="MLNK0a8fd878c8b84e4e93c22346b9b80e84" hidden="1">   '[16]AMCP Comparison'!$1:$1048576</definedName>
    <definedName name="MLNK0a91a8dbc4744a0f9a20243f9b6fd4d5" hidden="1">  '[16]Contract Analysis'!$1:$1048576</definedName>
    <definedName name="MLNK0b64312ba75d46f9a1ba27fb36991814" hidden="1">   '[18]EBITDA Waterfall'!$1:$1048576</definedName>
    <definedName name="MLNK0ca55d106bbc4557917cd2243c715555" hidden="1">   '[18]Returns Sensitivities'!$1:$1048576</definedName>
    <definedName name="MLNK0d1339536309440dbd7aebbb0eddc5f9" hidden="1">#REF!</definedName>
    <definedName name="MLNK0d645cf577544670b9317cc241fa8402" hidden="1">#REF!</definedName>
    <definedName name="MLNK0d803da7d5414e62b1ec4409c27b53fe" hidden="1">   [18]Synergies!$1:$1048576</definedName>
    <definedName name="MLNK0de4116330da41c9a0b20ec573361fa6" hidden="1">   '[18]Returns Sensitivities'!$1:$1048576</definedName>
    <definedName name="MLNK0df88cb5fed945efbb15cc9c2aeab315" hidden="1">   '[18]Returns Sensitivities'!$B$4:$T$49</definedName>
    <definedName name="MLNK0e74859e693040578c05add5f717d964" hidden="1">   '[18]Acquisitions P&amp;L'!$1:$1048576</definedName>
    <definedName name="MLNK0f90727208f742a98cf558179e2aff35" hidden="1">   '[18]S&amp;U and Cap Table'!$1:$1048576</definedName>
    <definedName name="MLNK0fc5ec4e7a974549aac1d5586d81b7fe" hidden="1">   '[18]Returns Sensitivities'!$1:$1048576</definedName>
    <definedName name="MLNK0ffeaac5845b428b959ad86b4f8f9fdf" hidden="1">   '[18]Returns Sensitivities'!$1:$1048576</definedName>
    <definedName name="MLNK104cfff4797c4d2984f3473f2a8f9b77" hidden="1">  '[16]Valuation Considerations'!$C$2:$AL$94</definedName>
    <definedName name="MLNK1080020a897640d2823be7ffcbf00840" hidden="1">   '[16]Contract Analysis'!$1:$1048576</definedName>
    <definedName name="MLNK10b5c14275174463b0cb41910f39678e" hidden="1">  '[16]Consolidated P&amp;L'!$1:$1048576</definedName>
    <definedName name="MLNK1104543d764f4d25aa0bfd0cd3e600ad" hidden="1">   '[16]Output P&amp;L'!$1:$1048576</definedName>
    <definedName name="MLNK1281276a18094e40a21b4c4ad6d0776f" hidden="1">   [18]Synergies!$B$7:$I$33</definedName>
    <definedName name="MLNK1413360b28fe47c3add179e7d961d232" hidden="1">     '[16]RPL - A&amp;M Analysis'!$B$5:$S$50</definedName>
    <definedName name="MLNK15cddc1773684285bce3c36c21a8963c" hidden="1">   [18]Synergies!$B$7:$I$33</definedName>
    <definedName name="MLNK1647629c62b44840829bb9846116d5d4" hidden="1">   [18]Synergies!$1:$1048576</definedName>
    <definedName name="MLNK165156bd21f646fcbe09aaf1d241ecbe" hidden="1">   '[17]Returns Sensitivities'!$1:$1048576</definedName>
    <definedName name="MLNK166ea92441ae41e79fb8ce0be27e0779" hidden="1">   '[16]Consolidated P&amp;L'!$1:$1048576</definedName>
    <definedName name="MLNK180a8ceec8a84b099f3be740c003c633" hidden="1">  '[16]Valuation Considerations'!$1:$1048576</definedName>
    <definedName name="MLNK18f8da6ae5394242b6358d12a1004700" hidden="1">   '[16]Consolidated P&amp;L'!$1:$1048576</definedName>
    <definedName name="MLNK1901dd9452b944e6926a52fffded5730" hidden="1">#REF!</definedName>
    <definedName name="MLNK1934205fb32342898bcc735d33b646b7" hidden="1">#REF!</definedName>
    <definedName name="MLNK1942a8f0f44d44929033b796600fb26d" hidden="1">  '[16]Valuation Considerations'!$C$2:$AL$94</definedName>
    <definedName name="MLNK1a3fa1258c104781be90a79ecaf923ff" hidden="1">   '[16]Consolidated P&amp;L'!$1:$1048576</definedName>
    <definedName name="MLNK1a8f41acd1fa4ad2b6db54dab49baf20" hidden="1">   '[16]Contract Analysis'!$B$2:$AL$83</definedName>
    <definedName name="MLNK1aa790fd408f43feb9e9af4996043da9" hidden="1">#REF!</definedName>
    <definedName name="MLNK1ae9495409ef48dd89064047285392f2" hidden="1">   '[16]Consolidated P&amp;L'!$1:$1048576</definedName>
    <definedName name="MLNK1af5e98c35914226a2b265bb091b3696" hidden="1">   '[16]Transaction Comps'!$1:$1048576</definedName>
    <definedName name="MLNK1b0892c771a24485a7fb34d3426ab317" hidden="1">   [16]LBO!$1:$1048576</definedName>
    <definedName name="MLNK1beda752260245f7aebce5d163cd573e" hidden="1">  '[16]Valuation Considerations'!$1:$1048576</definedName>
    <definedName name="MLNK1c13e61de1354688807e08896565a280" hidden="1">   '[18]CHEP EBITDA Waterfall'!$A$3:$V$55</definedName>
    <definedName name="MLNK1cafc20ea4fe44a0b966a1292fe749d8" hidden="1">   '[17]EBITDA Waterfall - NB Pres.'!$1:$1048576</definedName>
    <definedName name="MLNK1cd48f58d5db417abc8c121a54382101" hidden="1">   [18]Synergies!$B$7:$I$33</definedName>
    <definedName name="MLNK1d85280dc01449f9b3941349ff34ceb9" hidden="1">   '[16]Output P&amp;L'!$1:$1048576</definedName>
    <definedName name="MLNK1d8fa9645d8440e999c5a1a3024b33a6" hidden="1">   '[18]Returns Sensitivities'!$1:$1048576</definedName>
    <definedName name="MLNK1e36bd7f9e1043569380890b7b7ff445" hidden="1">   [18]Synergies!$D$7:$I$20</definedName>
    <definedName name="MLNK20ff2ff0369c4a758ff57afc39970fd3" hidden="1">   '[17]EBITDA Waterfall'!$1:$1048576</definedName>
    <definedName name="MLNK21482d49f38244ce907456f3ce7a33a4" hidden="1">   '[16]Output P&amp;L w Acq RFP'!$B$4:$O$36</definedName>
    <definedName name="MLNK2151e99ca70f451d8a4a793ddb127f86" hidden="1">   '[16]Consolidated P&amp;L'!$1:$1048576</definedName>
    <definedName name="MLNK22fde57d8a0b40b090e54ea481b2390b" hidden="1">   '[16]Seller Payout Analysis'!#REF!</definedName>
    <definedName name="MLNK243006641f8d4fa9afb393ad1ba387fb" hidden="1">   '[16]Consolidated P&amp;L'!$1:$1048576</definedName>
    <definedName name="MLNK248b67bfa1ea44fdafd6b8dbec0fc06b" hidden="1">   '[18]EBITDA Waterfall'!$A$12:$T$105</definedName>
    <definedName name="MLNK2596e62caaba4484959ad347be37dc76" hidden="1">   '[18]EBITDA Waterfall'!$1:$1048576</definedName>
    <definedName name="MLNK25e86e556bd246369bae7b2c8dc01334" hidden="1">     '[19]Valuation PF Adj. EBITDA'!$1:$1048576</definedName>
    <definedName name="MLNK264d58fbd51a49daafcc3cbd36a06498" hidden="1">   '[17]EBITDA Waterfall'!$A$14:$T$121</definedName>
    <definedName name="MLNK270f25e324ef48b8b6d8c7f26e3ac19b" hidden="1">   [18]Synergies!$B$7:$I$33</definedName>
    <definedName name="MLNK277c190514b04f968ca14621f98a474f" hidden="1">   '[16]Consolidated P&amp;L'!$1:$1048576</definedName>
    <definedName name="MLNK27f1bba06ae444698ebadeb34b19fe8f" hidden="1">   [17]Sheet1!$1:$1048576</definedName>
    <definedName name="MLNK289ab8a97d2a4885981774c0844b2647" hidden="1">   [18]Synergies!$B$7:$I$33</definedName>
    <definedName name="MLNK28a8c405cf5b4b7a9f57b398925f4ba4" hidden="1">   '[18]S&amp;U and Cap Table'!$1:$1048576</definedName>
    <definedName name="MLNK2907a555af4440ecbb94d4b6d5b76e8b" hidden="1">   '[16]Consolidated P&amp;L'!$1:$1048576</definedName>
    <definedName name="MLNK29289c8e12a8447f80b98991b9c77357" hidden="1">   [18]Synergies!$1:$1048576</definedName>
    <definedName name="MLNK29bc5e450a9447e7a102b3bf6feccae3" hidden="1">#REF!</definedName>
    <definedName name="MLNK2a12379f8444475187007db57a9494a7" hidden="1">   '[18]CHEP EBITDA Waterfall'!$1:$1048576</definedName>
    <definedName name="MLNK2c2676f8c35f4249b8ccb05484bc3dc3" hidden="1">     '[16]Output P&amp;L - Base &amp; Downside'!$B$4:$N$37</definedName>
    <definedName name="MLNK2c659c175b4e4b3486bf74059926086b" hidden="1">     '[16]Output P&amp;L - Base &amp; Downside'!$B$4:$N$38</definedName>
    <definedName name="MLNK2c7766ce5d2d40e4a8ced87369735e31" hidden="1">   '[16]Consolidated P&amp;L'!$1:$1048576</definedName>
    <definedName name="MLNK2c9a6dcde07446bb97c28063d9a16836" hidden="1">   '[16]Consolidated P&amp;L'!$1:$1048576</definedName>
    <definedName name="MLNK2cfab9e403e34851b51e820565ca45a8" hidden="1">   '[16]Seller Payout Analysis'!$1:$1048576</definedName>
    <definedName name="MLNK2d87e25b9901439eb33ef8603b776444" hidden="1">#REF!</definedName>
    <definedName name="MLNK2d8f7365534642aa94250f3087c24b6f" hidden="1">   '[16]Seller Payout Analysis'!#REF!</definedName>
    <definedName name="MLNK2dacaff3564b457794da297ea5a4c61e" hidden="1">#REF!</definedName>
    <definedName name="MLNK2dd97aa5a2e14b24a7cb178b09958622" hidden="1">   [17]PPR!$1:$1048576</definedName>
    <definedName name="MLNK2e62f8ac8be841799c495b0ae84cbd22" hidden="1">   '[17]S&amp;U and Cap Table - PWC SA'!$1:$1048576</definedName>
    <definedName name="MLNK2eb063c7e3f24043836d12ad46260035" hidden="1">   [18]Synergies!$1:$1048576</definedName>
    <definedName name="MLNK2f4a082dd9ee452e9f280fec80eeb6ac" hidden="1">   '[18]CHEP EBITDA Waterfall'!$1:$1048576</definedName>
    <definedName name="MLNK30036fc86f5c40748eb38fff32d0d305" hidden="1">   '[16]Seller Payout Analysis'!$1:$1048576</definedName>
    <definedName name="MLNK300fd61a8de147d3905b57b27a68728c" hidden="1">      '[18]Ouput P&amp;L'!$B$5:$X$67</definedName>
    <definedName name="MLNK30644dfe49cb4966a6eb5f532fb1aac6" hidden="1">   [18]Synergies!$B$7:$I$33</definedName>
    <definedName name="MLNK3096bfa5db284ac296ed1fe323bff91b" hidden="1">   '[18]CHEP EBITDA Waterfall'!$1:$1048576</definedName>
    <definedName name="MLNK315d60e09eed454bbe999eeb9a8ab261" hidden="1">     '[16]Valuation Considerations'!$1:$1048576</definedName>
    <definedName name="MLNK315e1f8d2b4643f4a7487b311423a574" hidden="1">   [18]Synergies!$B$7:$I$20</definedName>
    <definedName name="MLNK316dddb4cd214c5bbd5434b16b95894d" hidden="1">     [16]LBO!$1:$1048576</definedName>
    <definedName name="MLNK31e0935bbbf3470da0953e817ce7f9ba" hidden="1">   '[16]Consolidated P&amp;L'!$1:$1048576</definedName>
    <definedName name="MLNK32087013204a4f159908b25db28de00b" hidden="1">     '[16]Gina AR Aging'!$L$5:$S$16</definedName>
    <definedName name="MLNK320e9b060bce4447ab1f316e0be11993" hidden="1">   '[18]CHEP EBITDA Waterfall'!$1:$1048576</definedName>
    <definedName name="MLNK32630547d7764d98b120bb73cc91b5be" hidden="1">   [16]LBO!$1:$1048576</definedName>
    <definedName name="MLNK33121b000d4a4be5980d3b67e822e98a" hidden="1">   '[16]Consolidated P&amp;L'!$1:$1048576</definedName>
    <definedName name="MLNK33adda7511ec48d8a9aa602c7e4d8eec" hidden="1">   '[17]EBITDA Waterfall'!$1:$1048576</definedName>
    <definedName name="MLNK33d01e7f81a44a9c9ea03f68168f1ca4" hidden="1">   '[16]Consolidated P&amp;L'!$1:$1048576</definedName>
    <definedName name="MLNK342c89c2c3fe4fbd97b68a60e6c5b88e" hidden="1">#REF!</definedName>
    <definedName name="MLNK34caf8b217214a088ed4594c567ad2b7" hidden="1">  '[16]Output S&amp;U'!$C$7:$K$20</definedName>
    <definedName name="MLNK3550b6954d094297aba2a82cc4b545d7" hidden="1">   [18]Synergies!$D$7:$I$20</definedName>
    <definedName name="MLNK35e39217119641b499eb8d3baefa9298" hidden="1">   '[18]Acquisitions P&amp;L'!$B$4:$P$32</definedName>
    <definedName name="MLNK35ef20ec01db474fa01a842175bf3ffd" hidden="1">     '[16]Contract Analysis'!$1:$1048576</definedName>
    <definedName name="MLNK363587e4ad834e5bb038e2542fa694b4" hidden="1">  '[16]Output P&amp;L w Acq RFP'!$1:$1048576</definedName>
    <definedName name="MLNK373673fcb6e243519f34e9a9f134f407" hidden="1">   [17]PPR!$A$1:$T$27</definedName>
    <definedName name="MLNK381102f548cf4c9192197e01b0fb854c" hidden="1">   '[17]Returns Sensitivities'!$1:$1048576</definedName>
    <definedName name="MLNK382a02c74551461c9436c6cbf5c73436" hidden="1">   '[16]Seller Payout Analysis'!$1:$1048576</definedName>
    <definedName name="MLNK38e8e36072af497daaa2c6225256f173" hidden="1">   [17]PPR!$1:$1048576</definedName>
    <definedName name="MLNK39ac4dab39304182944592c6e563c8fb" hidden="1">#REF!</definedName>
    <definedName name="MLNK3a0653400f1d4a4ebb5626fed1914389" hidden="1">   '[16]Consolidated P&amp;L'!$1:$1048576</definedName>
    <definedName name="MLNK3a8c618c97ca408abafe268410d4e8d4" hidden="1">   [18]Synergies!$B$7:$I$20</definedName>
    <definedName name="MLNK3a9998c425d54fa2831dfbe8a677b6df" hidden="1">#REF!</definedName>
    <definedName name="MLNK3adfd0ba5d02451fb98f79ea37c19d67" hidden="1">  '[16]Consolidated P&amp;L'!$1:$1048576</definedName>
    <definedName name="MLNK3be3ebc8fcff4511b5e795b468be3bce" hidden="1">   '[18]CHEP EBITDA Waterfall'!$1:$1048576</definedName>
    <definedName name="MLNK3c3fa54659a84b9bafa2833f6449a657" hidden="1">   '[16]Consolidated P&amp;L'!$1:$1048576</definedName>
    <definedName name="MLNK3c51471040294d8f9929bd62c5ca0d77" hidden="1">#REF!</definedName>
    <definedName name="MLNK3d01e60d7a924a61b950958e80868eac" hidden="1">   [18]Synergies!$B$7:$I$33</definedName>
    <definedName name="MLNK3d18d2878e364ac3860fec4cbe8dd0ae" hidden="1">   [16]LBO!$1:$1048576</definedName>
    <definedName name="MLNK3d7c5ea20b7b41e6b8f8e60b799947cf" hidden="1">   [18]Synergies!$B$7:$I$33</definedName>
    <definedName name="MLNK3dc9b1ba8b6a4784b86c03d0846dca56" hidden="1">#REF!</definedName>
    <definedName name="MLNK3e26e601dc6141cfa678a14dd00cf758" hidden="1">   '[16]Output P&amp;L'!$1:$1048576</definedName>
    <definedName name="MLNK3ecb0b94c82e466dac26ccd3ae48a303" hidden="1">   [17]PPR!$A$1:$P$27</definedName>
    <definedName name="MLNK3ed38de97b15452bb87ee9ecc543890c" hidden="1">   '[18]EBITDA Waterfall'!$A$10:$T$65</definedName>
    <definedName name="MLNK4065b234f54742fa9e09be196b3a3aae" hidden="1">  '[16]Output P&amp;L'!$1:$1048576</definedName>
    <definedName name="MLNK4142c206dda84d89bbc9d41dc15af8f8" hidden="1">   '[17]EBITDA Waterfall'!$1:$1048576</definedName>
    <definedName name="MLNK4145bcca59ce49e9834746cc6f2f444b" hidden="1">   '[16]Output S&amp;U'!$1:$1048576</definedName>
    <definedName name="MLNK417ce17e937444729f11222eebb93867" hidden="1">   '[17]Acquisitions P&amp;L'!$B$4:$P$31</definedName>
    <definedName name="MLNK42877ac9dd74465fb31cc8ac5bd0095a" hidden="1">   '[16]Consolidated P&amp;L'!$1:$1048576</definedName>
    <definedName name="MLNK43d04270a0cb45528f5a0ed608433c28" hidden="1">   '[17]Returns Sensitivities'!$B$4:$T$50</definedName>
    <definedName name="MLNK440a55e2c4f049dbb13b6a3179e71f32" hidden="1">   '[18]Returns Sensitivities'!$1:$1048576</definedName>
    <definedName name="MLNK44f0b33d0a914c01ac74f963a78e0092" hidden="1">   '[17]EBITDA Waterfall - NB Pres.'!$A$14:$T$121</definedName>
    <definedName name="MLNK45d9019379b74cc8b433a5a81e737e49" hidden="1">#REF!</definedName>
    <definedName name="MLNK4613b6c9268d4744ba8cd1afb8984cdb" hidden="1">   [16]LBO!$1:$1048576</definedName>
    <definedName name="MLNK46916400c7bb4572aee3b6926b2b6e47" hidden="1">   '[16]Output P&amp;L w Acq RFP'!$B$4:$O$36</definedName>
    <definedName name="MLNK469d9c8ab49241909827d424e180fb60" hidden="1">   '[17]Acquisitions P&amp;L'!$1:$1048576</definedName>
    <definedName name="MLNK46f1b153076f48b280052afb91b59754" hidden="1">   '[18]Returns Sensitivities'!$B$4:$T$49</definedName>
    <definedName name="MLNK46fbe2bdce734127a98f75d59d43c39e" hidden="1">   '[18]EBITDA Waterfall'!$1:$1048576</definedName>
    <definedName name="MLNK4722b77fea2e4b83bc34a8a9b77287a6" hidden="1">   '[18]Returns Sensitivities'!$1:$1048576</definedName>
    <definedName name="MLNK48bb2c2b47314220b29ec02356d8d160" hidden="1">   [18]Synergies!$B$7:$I$33</definedName>
    <definedName name="MLNK48e3b77b73b24493bb3f047813e37708" hidden="1">   '[18]EBITDA Waterfall'!$A$14:$V$118</definedName>
    <definedName name="MLNK4925b86790f3493da3db1f06fb8ab783" hidden="1">   '[17]S&amp;U and Cap Table'!$1:$1048576</definedName>
    <definedName name="MLNK498730dc498b4960a16afa83c236c9ca" hidden="1">   '[18]CHEP EBITDA Waterfall'!$1:$1048576</definedName>
    <definedName name="MLNK49a5b5b8709a41a3b6d045a1cc25d139" hidden="1">      '[18]Ouput P&amp;L'!$B$5:$X$67</definedName>
    <definedName name="MLNK49bc9386255b441cb2bdaf4795438569" hidden="1">   '[17]S&amp;U and Cap Table - PWC SA'!$1:$1048576</definedName>
    <definedName name="MLNK49ee5ffc49284e61998a5cae9043dd14" hidden="1">   '[18]Returns Sensitivities'!$1:$1048576</definedName>
    <definedName name="MLNK4a5bef9e1bdc45ae8ca0729de2bf0672" hidden="1">   '[18]CHEP EBITDA Waterfall'!$A$3:$V$62</definedName>
    <definedName name="MLNK4b04231ffde7419ebf9a8a2a4ede857c" hidden="1">  '[16]Valuation Considerations'!$C$2:$AL$92</definedName>
    <definedName name="MLNK4b076f2e9d294451a1cc877045b0c4b9" hidden="1">#REF!</definedName>
    <definedName name="MLNK4c6bccfd042347c4a63f633b65437bbd" hidden="1">   '[18]CHEP EBITDA Waterfall'!$1:$1048576</definedName>
    <definedName name="MLNK4ccb0dabc05b4a8181468a7fd04bd7f8" hidden="1">   '[16]Output P&amp;L'!$1:$1048576</definedName>
    <definedName name="MLNK4cdf52dad81a4e7faf464255174e7e6a" hidden="1">   '[16]Consolidated P&amp;L'!$B$8:$K$86</definedName>
    <definedName name="MLNK4d139359474e489ab8ae22f09847be1d" hidden="1">   [18]Synergies!$B$7:$I$20</definedName>
    <definedName name="MLNK4d90ded73fce4f0fb1947f698505a4fc" hidden="1">   [18]Synergies!$1:$1048576</definedName>
    <definedName name="MLNK4ee6a14ea4964e239d588b9f213f220b" hidden="1">   [16]LBO!$1:$1048576</definedName>
    <definedName name="MLNK4faf6d94a35e4e9796efeb32b0e05e4d" hidden="1">   '[18]Acquisitions P&amp;L'!$1:$1048576</definedName>
    <definedName name="MLNK5045f0dcd52e4ce99023e91605141d53" hidden="1">   '[18]EBITDA Waterfall'!$A$13:$T$105</definedName>
    <definedName name="MLNK51197e6662b84862b33fa31b32ef6217" hidden="1">     [16]LBO!$I$364:$Y$382</definedName>
    <definedName name="MLNK516e61ed25f34dc3ac3667b82933502d" hidden="1">   '[18]S&amp;U and Cap Table'!$1:$1048576</definedName>
    <definedName name="MLNK517e90d99f6840a89948ce4066b1385e" hidden="1">   '[16]AMCP Comparison'!$1:$1048576</definedName>
    <definedName name="MLNK5180fb14a86b4c0e8fc99883522649e5" hidden="1">   [16]LBO!$A$22:$K$29</definedName>
    <definedName name="MLNK539c283abfe34da3933506144f1cf821" hidden="1">   '[18]Returns Sensitivities'!$1:$1048576</definedName>
    <definedName name="MLNK53a3058df0b74dc58f8f86a74d1227b2" hidden="1">   [17]Sheet3!$1:$1048576</definedName>
    <definedName name="MLNK53f27aeaa416425d8b9d48989dd168eb" hidden="1">   '[18]Returns Sensitivities'!$1:$1048576</definedName>
    <definedName name="MLNK5407d44989bb4905b3e6ef8d32b6dda6" hidden="1">#REF!</definedName>
    <definedName name="MLNK54559d5d82f44a17829aa58571a42869" hidden="1">#REF!</definedName>
    <definedName name="MLNK54b893e906e14375b37a431be3875ebc" hidden="1">   [18]Synergies!$1:$1048576</definedName>
    <definedName name="MLNK55f77a2747804f48af7a05bb1226bb35" hidden="1">   [18]Synergies!$1:$1048576</definedName>
    <definedName name="MLNK5671fa992b3e4d4e9b5f7ed5e3c70d41" hidden="1">  '[16]Output P&amp;L'!$B$4:$U$58</definedName>
    <definedName name="MLNK56b4250ea4b9436f88eae1dcf4260db5" hidden="1">   '[16]Consolidated P&amp;L'!$1:$1048576</definedName>
    <definedName name="MLNK57323ab8bab2475a9ffa4e99916489b3" hidden="1">#REF!</definedName>
    <definedName name="MLNK57377983b4464942beb9bedc26e4cba5" hidden="1">   '[18]Acquisitions P&amp;L'!$1:$1048576</definedName>
    <definedName name="MLNK57f4770fe8b7480a8b0501f3944f6374" hidden="1">   '[18]Acquisitions P&amp;L'!$1:$1048576</definedName>
    <definedName name="MLNK581ecbc7e3f747648fcce79f822a382f" hidden="1">   '[16]Consolidated P&amp;L'!$1:$1048576</definedName>
    <definedName name="MLNK58212d34c5c346e8a56d820613a1a8dc" hidden="1">   [17]PPR!$1:$1048576</definedName>
    <definedName name="MLNK58235a0244fd4278a546deda006fa1db" hidden="1">#REF!</definedName>
    <definedName name="MLNK58241af5cf4041b1b878f9f4b7cc1b51" hidden="1">   '[18]EBITDA Waterfall'!$1:$1048576</definedName>
    <definedName name="MLNK58936a32c11d471db6ecbd912356173b" hidden="1">      '[17]Ouput P&amp;L'!$B$5:$X$70</definedName>
    <definedName name="MLNK58f9d9e528c14b058f72f08d0d1b5f8b" hidden="1">   [16]LBO!$1:$1048576</definedName>
    <definedName name="MLNK5938cdf1cc234f16af0a1c490bd24415" hidden="1">   '[18]Returns Sensitivities'!$1:$1048576</definedName>
    <definedName name="MLNK59eefed8a8174549a847b1f020cf3f0e" hidden="1">     '[16]Valuation Considerations'!$C$2:$AL$94</definedName>
    <definedName name="MLNK5b189a42d4f342e8b38c133384cf057d" hidden="1">   [17]PPR!$1:$1048576</definedName>
    <definedName name="MLNK5bb8f6d239074073b55d78639dcff8aa" hidden="1">   [16]LBO!$M$22:$S$31</definedName>
    <definedName name="MLNK5c8236f34e0f490eb1c48283fcedc5a1" hidden="1">   '[16]Seller Payout Analysis'!$1:$1048576</definedName>
    <definedName name="MLNK5c94db538230401889c541b9a4de1c11" hidden="1">   '[16]Output P&amp;L'!$B$4:$S$58</definedName>
    <definedName name="MLNK5cb8231126624e779b5284d02fc34511" hidden="1">   '[16]Consolidated P&amp;L'!$1:$1048576</definedName>
    <definedName name="MLNK5d0a6dfeb25343ec904741e87de375f7" hidden="1">   '[18]S&amp;U and Cap Table'!$1:$1048576</definedName>
    <definedName name="MLNK5dad9ae8030442f4b2feb35c17114b0f" hidden="1">   '[16]Consolidated P&amp;L'!$1:$1048576</definedName>
    <definedName name="MLNK5e7020d38e4641b0b1556b6fd9568310" hidden="1">   '[16]Seller Payout Analysis'!$1:$1048576</definedName>
    <definedName name="MLNK5ed89afabfba42178975a00334aa6dff" hidden="1">   '[16]Consolidated P&amp;L'!$1:$1048576</definedName>
    <definedName name="MLNK5f3f33c83b164970a4bf8d71c6110492" hidden="1">   '[16]Consolidated P&amp;L'!$1:$1048576</definedName>
    <definedName name="MLNK606ede70f3284dc9b3b1ff582beeee8f" hidden="1">   [18]Synergies!$B$7:$I$33</definedName>
    <definedName name="MLNK63a02d9615e8470d86e56efd1a222335" hidden="1">  '[16]Valuation Considerations'!$1:$1048576</definedName>
    <definedName name="MLNK6541303b7e064ccf94283273a34f2442" hidden="1">   '[16]Consolidated P&amp;L'!$1:$1048576</definedName>
    <definedName name="MLNK656e299aaa8a4eb7b98bb446ed0f16c1" hidden="1">   [18]Synergies!$B$7:$I$20</definedName>
    <definedName name="MLNK658e21955628439491bb1dcd410d60a1" hidden="1">     '[16]Output P&amp;L w Acq RFP'!$B$4:$O$36</definedName>
    <definedName name="MLNK658e7acacb514260a8fc2bb42fb8a041" hidden="1">   '[16]Consolidated P&amp;L'!$1:$1048576</definedName>
    <definedName name="MLNK661858c752304b33864d52e4496fb47a" hidden="1">   '[18]PRIME EBITDA Waterfall '!$A$5:$K$41</definedName>
    <definedName name="MLNK667ea40ca33f4be7ac5f61a77ce86db0" hidden="1">   '[18]Returns Sensitivities'!$B$4:$T$49</definedName>
    <definedName name="MLNK66a0d6a2f1ae4dca81544ea9e7c2f7ad" hidden="1">   '[16]Seller Payout Analysis'!#REF!</definedName>
    <definedName name="MLNK66b0daf263af4f9299379aff24cf0227" hidden="1">   '[16]Consolidated P&amp;L'!$B$8:$K$86</definedName>
    <definedName name="MLNK67fb0f7cb85548d796273f18acaf6cb5" hidden="1">   '[16]Consolidated P&amp;L'!$1:$1048576</definedName>
    <definedName name="MLNK68e538530f9246cea36248b4c58ac607" hidden="1">   '[16]Consolidated P&amp;L'!$1:$1048576</definedName>
    <definedName name="MLNK68eed09dbfb24996810905db19896b89" hidden="1">      '[18]Ouput P&amp;L'!$B$5:$X$67</definedName>
    <definedName name="MLNK6932e564cc5f4830bf151b0335c88c86" hidden="1">   [18]Synergies!$1:$1048576</definedName>
    <definedName name="MLNK69c4dfa83733488197597398a1039e0d" hidden="1">   '[18]Transaction Comps'!$C$3:$M$12</definedName>
    <definedName name="MLNK69f54de7359a4a40ab7771049a78d059" hidden="1">     '[16]Output S&amp;U'!$1:$1048576</definedName>
    <definedName name="MLNK6a363e500f04477fb188a63a2f8e9783" hidden="1">  '[16]Output P&amp;L w Acq RFP'!$B$4:$O$36</definedName>
    <definedName name="MLNK6a5285c618514db08eb7763e8dfe98d5" hidden="1">   '[17]S&amp;U and Cap Table'!$B$14:$L$53</definedName>
    <definedName name="MLNK6a98439ae40a4ddaa0db270a9361fbcf" hidden="1">   [18]Synergies!$1:$1048576</definedName>
    <definedName name="MLNK6b069dc539354d6a87420fc536a18f3a" hidden="1">   '[16]Consolidated P&amp;L'!$1:$1048576</definedName>
    <definedName name="MLNK6b3c1db40ec84f188091f2e30423af83" hidden="1">   [18]Synergies!$1:$1048576</definedName>
    <definedName name="MLNK6d4321ea38fe468c95f52c2d98f0c926" hidden="1">#REF!</definedName>
    <definedName name="MLNK6ee1f30cd85d4ac194288ba36762ca58" hidden="1">   '[17]EBITDA Waterfall'!$A$14:$T$121</definedName>
    <definedName name="MLNK702bbd55ee2f4fb3930a5417ecb19ec6" hidden="1">   '[16]Consolidated P&amp;L'!$1:$1048576</definedName>
    <definedName name="MLNK704ca286d4b448f4bc6bd79387931c34" hidden="1">#REF!</definedName>
    <definedName name="MLNK708759746e904725be323b8b9f7d0977" hidden="1">   [18]Synergies!$1:$1048576</definedName>
    <definedName name="MLNK70d79bb85d9948669e1ef63325d70b63" hidden="1">   '[18]Returns Sensitivities'!$1:$1048576</definedName>
    <definedName name="MLNK71aeda4532ba4fba8771472d9ef6a42a" hidden="1">   '[16]Consolidated P&amp;L'!$1:$1048576</definedName>
    <definedName name="MLNK729337603f9b483592917a86c5172e2b" hidden="1">   '[16]Output P&amp;L'!$1:$1048576</definedName>
    <definedName name="MLNK7318c25684ae43419eaf57921b1c4f10" hidden="1">   '[17]EBITDA Waterfall - NB Pres.'!$1:$1048576</definedName>
    <definedName name="MLNK737b7a46abd34bf290584ffe3bd6886f" hidden="1">   '[18]Returns Sensitivities'!$1:$1048576</definedName>
    <definedName name="MLNK73835a472b69412ca3aa5caeebd62c56" hidden="1">   [16]LBO!$1:$1048576</definedName>
    <definedName name="MLNK73a14e573c534fd79f5170f7e2f46742" hidden="1">#REF!</definedName>
    <definedName name="MLNK73e31588ef5440edb1159cadba511220" hidden="1">      '[18]Ouput P&amp;L'!$C$46</definedName>
    <definedName name="MLNK74dc7ac3bf744863885074efaf501409" hidden="1">  '[16]Contract Analysis'!$1:$1048576</definedName>
    <definedName name="MLNK7538a6adfcab450e8e32e7e5c6fc2805" hidden="1">   '[16]Consolidated P&amp;L'!$1:$1048576</definedName>
    <definedName name="MLNK753f0361df25488799ece2299f0a107d" hidden="1">   '[18]Returns Sensitivities'!$1:$1048576</definedName>
    <definedName name="MLNK759b6fc4810f45c4adfafd069d7ef6b6" hidden="1">   '[16]Output P&amp;L w Acq RFP'!$1:$1048576</definedName>
    <definedName name="MLNK75e13ea05eec461387ccc1b4b7adb82b" hidden="1">     '[16]Output S&amp;U'!$1:$1048576</definedName>
    <definedName name="MLNK765f481637224a98b10c3c815b4ce71d" hidden="1">   '[16]AMCP Comparison'!$1:$1048576</definedName>
    <definedName name="MLNK7661e70effad4036abeeab66a71ed9e2" hidden="1">#REF!</definedName>
    <definedName name="MLNK769b357637f2461dbfa5f18c0093043a" hidden="1">   [18]Synergies!$1:$1048576</definedName>
    <definedName name="MLNK771d0f43018743e58fb5715be595fcce" hidden="1">#REF!</definedName>
    <definedName name="MLNK784988454e6a4702a0151a4116834292" hidden="1">#REF!</definedName>
    <definedName name="MLNK784e6c62171c4cae8b65a035683d6ca4" hidden="1">   [18]Synergies!$B$7:$I$33</definedName>
    <definedName name="MLNK7872c72cdf474d219926d41c8f98ec21" hidden="1">   '[17]EBITDA Waterfall'!$1:$1048576</definedName>
    <definedName name="MLNK789b67dfa2a64239a5dc51c0a3eaecf3" hidden="1">   '[16]Transaction Comps'!$1:$1048576</definedName>
    <definedName name="MLNK79c53228e0444cea9b0c26d703d178c9" hidden="1">   '[16]Output P&amp;L w Acq RFP'!$1:$1048576</definedName>
    <definedName name="MLNK7a35a6a27e794991b3206e0f79c31063" hidden="1">   '[16]Seller Payout Analysis'!#REF!</definedName>
    <definedName name="MLNK7a617aeedd4b429184bb26f4fb484944" hidden="1">   [18]Synergies!$B$7:$I$33</definedName>
    <definedName name="MLNK7b234db1c7004e848d05a473c0d52ebb" hidden="1">   '[18]Returns Sensitivities'!$1:$1048576</definedName>
    <definedName name="MLNK7bbe472bcc5348cfb1c2acd532a2d34e" hidden="1">  '[16]Output P&amp;L'!$B$4:$U$60</definedName>
    <definedName name="MLNK7c65faac9c144ab1975db4f995f09190" hidden="1">   '[16]Contract Analysis'!$B$2:$BV$83</definedName>
    <definedName name="MLNK7ca0f23402cd47b7803add387cb7706f" hidden="1">   [18]Synergies!$1:$1048576</definedName>
    <definedName name="MLNK7cd00acd5998406fbc41e49819bead04" hidden="1">     '[16]Gina AR Aging'!$1:$1048576</definedName>
    <definedName name="MLNK7d2814d7043549ca9bca7b49c59c2149" hidden="1">   '[17]Returns Sensitivities'!$1:$1048576</definedName>
    <definedName name="MLNK7d8c37f3efe84df8b851147411d503cc" hidden="1">   '[18]EBITDA Waterfall'!$A$14:$V$118</definedName>
    <definedName name="MLNK7e9a5631f8a043a48aeb3e4887cb1701" hidden="1">   '[16]Consolidated P&amp;L'!$1:$1048576</definedName>
    <definedName name="MLNK7efaa6538d504c639f2f5180efd1cbb5" hidden="1">#REF!</definedName>
    <definedName name="MLNK7f80aa89dfd148418d0bfca946ef2910" hidden="1">   '[18]S&amp;U and Cap Table'!$1:$1048576</definedName>
    <definedName name="MLNK7f9161fe608d433cb62ea848472dc124" hidden="1">   '[17]Returns Sensitivities'!$1:$1048576</definedName>
    <definedName name="MLNK7fa931c529fc44c8ad2fca51f89c8cef" hidden="1">#REF!</definedName>
    <definedName name="MLNK805a9e9612444e6a9038cf405e7c99b6" hidden="1">  '[16]Consolidated P&amp;L'!$1:$1048576</definedName>
    <definedName name="MLNK807c374c752c4b0ca1338e357e210974" hidden="1">   '[16]Consolidated P&amp;L'!$1:$1048576</definedName>
    <definedName name="MLNK8193af063a4f4b149d6b7709fc5f461a" hidden="1">  '[16]Valuation Considerations'!$1:$1048576</definedName>
    <definedName name="MLNK819e10aea2b24db3b0a83d493df69e2b" hidden="1">   '[16]AMCP Comparison'!$1:$1048576</definedName>
    <definedName name="MLNK833dbac067d04df796d70a75cbd525c1" hidden="1">   '[16]Consolidated P&amp;L'!$1:$1048576</definedName>
    <definedName name="MLNK8391ba8d619c47b7a21a5c36c4af3c2a" hidden="1">      '[18]Ouput P&amp;L'!$B$5:$X$67</definedName>
    <definedName name="MLNK83b3fcd401f64a1ea769571c911c584e" hidden="1">     '[16]Output P&amp;L w Acq RFP'!$1:$1048576</definedName>
    <definedName name="MLNK83fc80077cef4412bcd6d4c97f3bc93f" hidden="1">   '[16]AMCP Comparison'!$B$2:$L$67</definedName>
    <definedName name="MLNK8459e2d6920044d6ab88806e1f3c0934" hidden="1">   '[16]Transaction Comps'!$1:$1048576</definedName>
    <definedName name="MLNK845efa97f92a497184b7af49b0b2146c" hidden="1">   '[17]Transaction Comps'!$C$3:$M$16</definedName>
    <definedName name="MLNK8531ab3a2192404898a11102b012ff51" hidden="1">   '[16]Consolidated P&amp;L'!$1:$1048576</definedName>
    <definedName name="MLNK85b2d98cdae349a296e5a40f0da5bb0c" hidden="1">   '[16]Consolidated P&amp;L'!$1:$1048576</definedName>
    <definedName name="MLNK8623b6cb67f243769c6c2a505083acae" hidden="1">   [16]LBO!$I$364:$Y$382</definedName>
    <definedName name="MLNK8697b8f9a5aa4038ad943c0d72c2829b" hidden="1">   '[16]Output P&amp;L'!$1:$1048576</definedName>
    <definedName name="MLNK86db55a2d8904482beea6f3a2e8019aa" hidden="1">   '[17]Returns Sensitivities'!$1:$1048576</definedName>
    <definedName name="MLNK871f95b629814b808e771f03aba68f0d" hidden="1">     '[16]Lender Model'!$A$239:$G$278</definedName>
    <definedName name="MLNK8735e1cb7b8c421cbac0cb71c4c902f1" hidden="1">   '[17]S&amp;U and Cap Table'!$B$14:$L$53</definedName>
    <definedName name="MLNK88429e03830a41e49503925f6b3a93d0" hidden="1">   '[16]Consolidated P&amp;L'!$1:$1048576</definedName>
    <definedName name="MLNK89716d5e48b6446e98d469400e2be0cb" hidden="1">#REF!</definedName>
    <definedName name="MLNK89dbd33d7cbc401dbbfb356b54491ab2" hidden="1">   [18]Synergies!$B$7:$I$33</definedName>
    <definedName name="MLNK8ac6ec4773404aa39a13512a83daf6a5" hidden="1">   '[16]AMCP Comparison'!$1:$1048576</definedName>
    <definedName name="MLNK8af050b9286a4cef8d4ea08b82d1d8d0" hidden="1">#REF!</definedName>
    <definedName name="MLNK8b793d63d6fc46778ce6e727bca66739" hidden="1">      '[18]Ouput P&amp;L'!$B$5:$X$67</definedName>
    <definedName name="MLNK8b8ecc8b47e64bf3b2b1a0b5f81cd2ce" hidden="1">   '[16]Seller Payout Analysis'!#REF!</definedName>
    <definedName name="MLNK8c577ecb5288438aa4826ab993405398" hidden="1">     [16]LBO!$1:$1048576</definedName>
    <definedName name="MLNK8c681bd642424146b2ba2df384ed70b8" hidden="1">#REF!</definedName>
    <definedName name="MLNK8d39c9db488148a98cf2aa9a75fc425d" hidden="1">   '[17]EBITDA Waterfall - NB Pres.'!$1:$1048576</definedName>
    <definedName name="MLNK8de5d72afc1c4ad78b89ef1e560c8eaa" hidden="1">   '[18]Returns Sensitivities'!$1:$1048576</definedName>
    <definedName name="MLNK8de6ef40431b41fd9b3209353b3e8e69" hidden="1">   '[18]EBITDA Waterfall'!$1:$1048576</definedName>
    <definedName name="MLNK8eb4e8576a804868bdd8e19f2a015f10" hidden="1">   '[18]EBITDA Waterfall'!$1:$1048576</definedName>
    <definedName name="MLNK8ed58e7fa82e4f5d8225dc8709cbef8a" hidden="1">   '[17]Acquisitions P&amp;L'!$1:$1048576</definedName>
    <definedName name="MLNK8f332d2513a2413397eb89ede978a4ab" hidden="1">   '[17]EBITDA Waterfall'!$A$14:$T$121</definedName>
    <definedName name="MLNK90916242e5a54344b68e342f48b1c096" hidden="1">  '[16]Consolidated P&amp;L'!$1:$1048576</definedName>
    <definedName name="MLNK90c9ceed375f4ee9b32b68aa6acd6e4b" hidden="1">   '[17]Acquisitions P&amp;L'!$1:$1048576</definedName>
    <definedName name="MLNK91a06eb93443474fbf12f1c251e74ec6" hidden="1">   '[16]Consolidated P&amp;L'!$1:$1048576</definedName>
    <definedName name="MLNK91ca6593f67e4a70a9ce79578b6cc5bc" hidden="1">   [18]Synergies!$B$7:$I$33</definedName>
    <definedName name="MLNK924568d9f52e42d7a9b30e86b8e65107" hidden="1">  '[16]Contract Analysis'!$1:$1048576</definedName>
    <definedName name="MLNK92ad9622a45d4d9c8c02821cd04dd882" hidden="1">   '[18]S&amp;U and Cap Table'!$B$14:$L$53</definedName>
    <definedName name="MLNK92b668870b0b4df38eb1ec2519c8c718" hidden="1">   '[18]Returns Sensitivities'!$1:$1048576</definedName>
    <definedName name="MLNK93fab3461cad42d3b099f6d7b0db13f8" hidden="1">   [18]Synergies!$1:$1048576</definedName>
    <definedName name="MLNK945686ec1c9841c7a5e8c085610d75c4" hidden="1">   '[18]Returns Sensitivities'!$1:$1048576</definedName>
    <definedName name="MLNK94ce08e1fb024f969142b0398a7f993f" hidden="1">#REF!</definedName>
    <definedName name="MLNK95519b432db846b6a622bb9373b21f44" hidden="1">   '[16]Contract Analysis'!$1:$1048576</definedName>
    <definedName name="MLNK962fbbb9c9a74c689e54011223d9858d" hidden="1">     [16]LBO!$I$364:$Y$382</definedName>
    <definedName name="MLNK963d5aa9dcd041ac81e967cc06885aac" hidden="1">   '[18]PRIME EBITDA Waterfall '!$1:$1048576</definedName>
    <definedName name="MLNK96e0d6b8d7c74167b6f8918666cf58df" hidden="1">   '[16]Seller Payout Analysis'!$1:$1048576</definedName>
    <definedName name="MLNK97099a2e698f4415ac713422a1548177" hidden="1">   '[16]AMCP Comparison'!$1:$1048576</definedName>
    <definedName name="MLNK98a6daeced4c408482cc79f97b5827cf" hidden="1">#REF!</definedName>
    <definedName name="MLNK98c8150d15a04887ae768ab80f99394b" hidden="1">     '[16]Output P&amp;L - Base &amp; Downside'!$B$4:$N$40</definedName>
    <definedName name="MLNK9a92eedb56764b2fad1879c63aeecabb" hidden="1">   '[16]Consolidated P&amp;L'!$1:$1048576</definedName>
    <definedName name="MLNK9aca2702f8d1461397385042629f04bc" hidden="1">   '[18]CHEP EBITDA Waterfall'!$A$3:$V$64</definedName>
    <definedName name="MLNK9b0b8b540ae64d41a1da5f338f28eb3d" hidden="1">   [18]Synergies!$1:$1048576</definedName>
    <definedName name="MLNK9b33f746bd104d21a4037713c418bef9" hidden="1">  '[16]Output S&amp;U'!$1:$1048576</definedName>
    <definedName name="MLNK9beb49df83c14e7e863226198fbee001" hidden="1">   '[18]EBITDA Waterfall'!$1:$1048576</definedName>
    <definedName name="MLNK9d5aed5978004c419bdb837a9de7b528" hidden="1">   '[18]S&amp;U and Cap Table'!$B$14:$L$53</definedName>
    <definedName name="MLNK9daccd60af6c4b8d8cd3885d5cc64f80" hidden="1">   '[18]EBITDA Waterfall'!$A$14:$T$105</definedName>
    <definedName name="MLNK9e58407f34c4440a8844f3e0d6ce162f" hidden="1">   '[16]Consolidated P&amp;L'!$1:$1048576</definedName>
    <definedName name="MLNK9e6d70946cab438eb6be9356a0719ff7" hidden="1">   '[17]S&amp;U and Cap Table'!$1:$1048576</definedName>
    <definedName name="MLNK9f4459f54c124fa79e35c79dd35d1ff7" hidden="1">   '[16]Output P&amp;L'!$B$7</definedName>
    <definedName name="MLNK9fdb76a60f64496e9fa6895a63df16a6" hidden="1">   '[16]Consolidated P&amp;L'!$1:$1048576</definedName>
    <definedName name="MLNKa00d2b9a77764863be140fbd0e395134" hidden="1">   '[16]Consolidated P&amp;L'!$1:$1048576</definedName>
    <definedName name="MLNKa0428ca2c30b48a0a1fa01bd732e03bb" hidden="1">   [16]LBO!$1:$1048576</definedName>
    <definedName name="MLNKa09b38a9d6ea4515a0ec6e3bf7b627d1" hidden="1">   '[16]Output P&amp;L w Acq RFP'!$1:$1048576</definedName>
    <definedName name="MLNKa0bd04eb41384188b50402df3a46ace7" hidden="1">   '[18]EBITDA Waterfall'!$1:$1048576</definedName>
    <definedName name="MLNKa17beba1f9d24c8cbfecc706a5dfe87b" hidden="1">   '[16]AMCP Comparison'!$B$4:$L$67</definedName>
    <definedName name="MLNKa3f1eb3962b6433981025690f2b39309" hidden="1">   '[17]S&amp;U and Cap Table'!$1:$1048576</definedName>
    <definedName name="MLNKa42714e52f0a4371864bf33dd93ec5b6" hidden="1">     '[16]AP Aging'!$1:$1048576</definedName>
    <definedName name="MLNKa4724247ae2a47509a44041d60b612be" hidden="1">   [18]Synergies!$B$7:$I$33</definedName>
    <definedName name="MLNKa4a77fbf002b4bc68864e2cdb547e8eb" hidden="1">   '[19]Valuation PF Adj. EBITDA'!$H$17:$K$48</definedName>
    <definedName name="MLNKa5f36c04925447baafe64673ef2841cf" hidden="1">   '[18]Returns Sensitivities'!$1:$1048576</definedName>
    <definedName name="MLNKa610a1348fdc46a28780522cc9a8c4aa" hidden="1">   [18]Synergies!$1:$1048576</definedName>
    <definedName name="MLNKa62c95b09962456ca3f8cb07d3dd7489" hidden="1">   [18]Synergies!$1:$1048576</definedName>
    <definedName name="MLNKa6700917c2694733ba11cd14eb3a0c57" hidden="1">   '[16]Consolidated P&amp;L'!#REF!</definedName>
    <definedName name="MLNKa6a0f3f4b6ed49899827d64a3f0cfeba" hidden="1">   [18]Synergies!$1:$1048576</definedName>
    <definedName name="MLNKa7a3c8c6b35e48c68b3c885a1401c88e" hidden="1">  '[16]Output P&amp;L'!$1:$1048576</definedName>
    <definedName name="MLNKa7e29ea1ac7d4d34ae579ca0e248d65e" hidden="1">   '[16]Consolidated P&amp;L'!$1:$1048576</definedName>
    <definedName name="MLNKaaae21f7de534c2c818625d44dc4ad08" hidden="1">#REF!</definedName>
    <definedName name="MLNKab956b4b13284c8e8fffaa4809710922" hidden="1">   '[16]Contract Analysis'!$1:$1048576</definedName>
    <definedName name="MLNKabe2c73b5c8c4fd5ba0075e972438c2c" hidden="1">#REF!</definedName>
    <definedName name="MLNKabe6e1ea7c7348dc8bc355179afef940" hidden="1">   [18]Synergies!$1:$1048576</definedName>
    <definedName name="MLNKabf2904ea7374783a9893a98a1e257c7" hidden="1">   '[16]Consolidated P&amp;L'!$1:$1048576</definedName>
    <definedName name="MLNKac53713bc22e4082904339f4e73958ee" hidden="1">     '[16]Output P&amp;L'!$B$4:$U$60</definedName>
    <definedName name="MLNKac766241f4f143f08d746b3fce1e348f" hidden="1">   '[18]S&amp;U and Cap Table'!$1:$1048576</definedName>
    <definedName name="MLNKacb09b5d008e41c0a891e333b713244e" hidden="1">   '[17]Returns Sensitivities'!$B$4:$T$50</definedName>
    <definedName name="MLNKad9f8e35993a401bbf1a535d94484474" hidden="1">  '[16]Consolidated P&amp;L'!$1:$1048576</definedName>
    <definedName name="MLNKaee981f2bc2d4396a0a93ac62b969202" hidden="1">  '[16]Output P&amp;L w Acq RFP'!$1:$1048576</definedName>
    <definedName name="MLNKaf1fbde0b6a84099bb44e37ff5ec8fb9" hidden="1">   '[16]Transaction Comps'!$G$12</definedName>
    <definedName name="MLNKb087051304114c589a71a9f51f5a3de4" hidden="1">   [18]Synergies!$1:$1048576</definedName>
    <definedName name="MLNKb09b931233af4c3a834da25202ad028a" hidden="1">  '[16]Output P&amp;L w Acq RFP'!$B$4:$O$36</definedName>
    <definedName name="MLNKb0d2844caed24da0a1df81d838adf07a" hidden="1">   '[18]Returns Sensitivities'!$B$4:$T$50</definedName>
    <definedName name="MLNKb0df781636874d07951b4972ee431cdc" hidden="1">   '[17]Returns Sensitivities'!$B$4:$T$50</definedName>
    <definedName name="MLNKb1a6878e799a4402ae7817ada82db2ac" hidden="1">   [18]Synergies!$B$7:$I$33</definedName>
    <definedName name="MLNKb1d6d2973eab4693b973caebb780714c" hidden="1">#REF!</definedName>
    <definedName name="MLNKb24c4d2e6a184a3881576cece25f5e38" hidden="1">   '[18]EBITDA Waterfall'!$1:$1048576</definedName>
    <definedName name="MLNKb291303479734587b96e286c4a7c3dab" hidden="1">#REF!</definedName>
    <definedName name="MLNKb2dd2fb16431404ab0dcaf0de23b63bd" hidden="1">   '[18]Returns Sensitivities'!$1:$1048576</definedName>
    <definedName name="MLNKb301935fb7514ecdbe43be6391d7d70c" hidden="1">   '[17]EBITDA Waterfall'!$1:$1048576</definedName>
    <definedName name="MLNKb43696c3d6fb4b72a4fcca5b4bc92a15" hidden="1">   '[17]EBITDA Waterfall'!$1:$1048576</definedName>
    <definedName name="MLNKb45db621c2264ef8bd0ee284bcd26cae" hidden="1">     '[16]AP Aging'!$D$5:$L$11</definedName>
    <definedName name="MLNKb486035161244d9db3b2669b3b240531" hidden="1">   '[16]Consolidated P&amp;L'!$1:$1048576</definedName>
    <definedName name="MLNKb5ddf5ed139b432fb5aab53a6d4c9c07" hidden="1">   '[18]S&amp;U and Cap Table'!$1:$1048576</definedName>
    <definedName name="MLNKb6c29457d5fd46e0a008625bcc24202d" hidden="1">#REF!</definedName>
    <definedName name="MLNKb7def0b2e48842cf83118d16cbc25627" hidden="1">#REF!</definedName>
    <definedName name="MLNKb7ef13de07a140139a7431a6d2a90b0f" hidden="1">   '[18]Returns Sensitivities'!$1:$1048576</definedName>
    <definedName name="MLNKb81579d2f6d74d12a0c9c9ca7010b730" hidden="1">     '[16]Output P&amp;L - Base &amp; Downside'!$1:$1048576</definedName>
    <definedName name="MLNKb8debcb2c5bf4e979763d393138372f6" hidden="1">   '[17]EBITDA Waterfall'!$1:$1048576</definedName>
    <definedName name="MLNKb8f2758432f048a4bf03b24a363ac2a7" hidden="1">   '[18]Returns Sensitivities'!$1:$1048576</definedName>
    <definedName name="MLNKb919e8e3d5b74b11b6abd5c8d2f63801" hidden="1">   '[16]Consolidated P&amp;L'!$1:$1048576</definedName>
    <definedName name="MLNKb931048ccf864db19a671a68bef32761" hidden="1">   '[18]EBITDA Waterfall'!$1:$1048576</definedName>
    <definedName name="MLNKb9cfccf99baa4c798dba8ed8da939377" hidden="1">   '[18]EBITDA Waterfall'!$1:$1048576</definedName>
    <definedName name="MLNKbaa11e7fbd6247c097a95b37fd64f17c" hidden="1">   '[18]EBITDA Waterfall'!$1:$1048576</definedName>
    <definedName name="MLNKbb9dbe75958a4adda2dc106a1ba823ca" hidden="1">   '[18]Returns Sensitivities'!$1:$1048576</definedName>
    <definedName name="MLNKbbb239f9b11544baa2fab5b78b8faf73" hidden="1">   '[18]EBITDA Waterfall'!$1:$1048576</definedName>
    <definedName name="MLNKbc660a6ae80f407a9771d1a9b3c94a30" hidden="1">   '[18]EBITDA Waterfall'!$1:$1048576</definedName>
    <definedName name="MLNKbc9ebb5dfeee427193dca54739eb548a" hidden="1">   '[18]EBITDA Waterfall'!$1:$1048576</definedName>
    <definedName name="MLNKbca6436046c24ad5b0bd15d46e6cb5e0" hidden="1">     '[16]Output S&amp;U'!$C$7:$K$22</definedName>
    <definedName name="MLNKbd2e553b6c514c299ef3fe07527ec602" hidden="1">   [18]Synergies!$1:$1048576</definedName>
    <definedName name="MLNKbd93cd37b5f84c8f8731b1be4e68c0cf" hidden="1">   '[16]Consolidated P&amp;L'!$1:$1048576</definedName>
    <definedName name="MLNKbdf2cb1312764bd783a4b294085f4833" hidden="1">  '[16]Consolidated P&amp;L'!$1:$1048576</definedName>
    <definedName name="MLNKbe2b8ac89a88459fb88231819d67b0f6" hidden="1">   '[18]Returns Sensitivities'!$B$4:$T$49</definedName>
    <definedName name="MLNKbec4da5dd10f45eab13289d1d2378119" hidden="1">#REF!</definedName>
    <definedName name="MLNKbef3aea86ac74312be16b6edeaaa5257" hidden="1">   '[18]Transaction Comps'!$1:$1048576</definedName>
    <definedName name="MLNKbfc890482cd94a4793625e0e9b118646" hidden="1">   '[16]Consolidated P&amp;L'!$1:$1048576</definedName>
    <definedName name="MLNKbfd07ae7ab0b4fe18a3ed4fdd5d4e99b" hidden="1">   '[17]S&amp;U and Cap Table'!$B$14:$L$53</definedName>
    <definedName name="MLNKbfd8e18deee944e4b44430085288d921" hidden="1">   [17]PPR!$1:$1048576</definedName>
    <definedName name="MLNKc01629ca320f4b62b1ce3fb06a8bbb86" hidden="1">   '[16]Consolidated P&amp;L'!$1:$1048576</definedName>
    <definedName name="MLNKc077991af1144922ba7f4ba5bba87eec" hidden="1">   '[16]Output S&amp;U'!$1:$1048576</definedName>
    <definedName name="MLNKc0c9a0e00e0c47db9d7e7a1c8d856708" hidden="1">   '[18]PRIME EBITDA Waterfall '!$1:$1048576</definedName>
    <definedName name="MLNKc2163db284824b0c99512b2a5241d49b" hidden="1">   '[16]Consolidated P&amp;L'!$1:$1048576</definedName>
    <definedName name="MLNKc2ef374ad5c9441fa15cbccdd79c27a6" hidden="1">   '[16]Consolidated P&amp;L'!$1:$1048576</definedName>
    <definedName name="MLNKc2f3dba0e2bb42e496b5dabf68edcf97" hidden="1">   '[16]Consolidated P&amp;L'!$1:$1048576</definedName>
    <definedName name="MLNKc332851b67f945ca981ed241aa56df55" hidden="1">   '[16]Transaction Comps'!$1:$1048576</definedName>
    <definedName name="MLNKc36d04d8dfe04e9a93a5d8edbd065739" hidden="1">#REF!</definedName>
    <definedName name="MLNKc37ec06beba2432a8dfad30ed0ba2680" hidden="1">   '[17]S&amp;U and Cap Table'!$1:$1048576</definedName>
    <definedName name="MLNKc47bd1afd2774c7d96d6919fa13c12fd" hidden="1">   '[18]EBITDA Waterfall'!$1:$1048576</definedName>
    <definedName name="MLNKc525c0954b5a4d1da472d6f64b40ecdc" hidden="1">   '[16]Consolidated P&amp;L'!$1:$1048576</definedName>
    <definedName name="MLNKc55ec67e81544c62af0a2eb0293aa023" hidden="1">   [18]Synergies!$B$7:$I$20</definedName>
    <definedName name="MLNKc589b1fb64a64c0daeac77b7378fc702" hidden="1">   '[18]Returns Sensitivities'!$1:$1048576</definedName>
    <definedName name="MLNKc62a0459dcff4e0283bbdfbafc9cbb84" hidden="1">  '[16]Output P&amp;L'!$B$4:$U$58</definedName>
    <definedName name="MLNKc6cc04acfed54c2e9f1b7538663a0f7c" hidden="1">   '[16]Transaction Comps'!$C$4:$M$17</definedName>
    <definedName name="MLNKc6fbda8d4fb7425fae2b4f08a36fa9f4" hidden="1">     '[16]Output P&amp;L - Base &amp; Downside'!$1:$1048576</definedName>
    <definedName name="MLNKc7bd17f792e245a6b626b0fb8dafbc05" hidden="1">   [18]Synergies!$1:$1048576</definedName>
    <definedName name="MLNKc7e1884953a04d68a36705b84df9f57e" hidden="1">  '[16]Valuation Considerations'!$C$2:$AL$94</definedName>
    <definedName name="MLNKc8d9243f124a42ef98fe604fa89689d3" hidden="1">      '[18]Ouput P&amp;L'!$B$5:$X$67</definedName>
    <definedName name="MLNKc9317c76c4914f4a9fca4184f606a32e" hidden="1">   '[16]Output P&amp;L'!$1:$1048576</definedName>
    <definedName name="MLNKc937db4fb9b84c14b4c5f407b88d58df" hidden="1">     '[16]Output P&amp;L - Base &amp; Downside'!$1:$1048576</definedName>
    <definedName name="MLNKc95fdc6d8b7543ac970520992c41079f" hidden="1">   [18]Synergies!$B$7:$I$33</definedName>
    <definedName name="MLNKc9cc310e5c934746ae6d46744f62bc6f" hidden="1">   '[17]Transaction Comps'!$1:$1048576</definedName>
    <definedName name="MLNKc9e5b85f8b114b35be0078608d789c42" hidden="1">   '[18]Transaction Comps'!$C$3:$M$12</definedName>
    <definedName name="MLNKca87205746fd4e07bac173e854cd1233" hidden="1">   '[18]Returns Sensitivities'!$1:$1048576</definedName>
    <definedName name="MLNKcab111ffb6c74cdd8d1ddbe3825abff1" hidden="1">   '[18]S&amp;U and Cap Table'!$B$14:$L$53</definedName>
    <definedName name="MLNKcb16d0a171254fa88b68d0f83c5dbb78" hidden="1">     '[16]Output P&amp;L'!$1:$1048576</definedName>
    <definedName name="MLNKcbda8d3ca1ea45d2ad40e00759c66d18" hidden="1">   '[18]Returns Sensitivities'!$1:$1048576</definedName>
    <definedName name="MLNKcc33fcf3847f4667aeb9dc71a4c35aad" hidden="1">#REF!</definedName>
    <definedName name="MLNKcc56aaee0c0a4d2686686eeeea0fbd84" hidden="1">   [18]Synergies!$1:$1048576</definedName>
    <definedName name="MLNKcc61ec4a453244ceaf75cec3e15615bb" hidden="1">     '[16]Output P&amp;L - Base &amp; Downside'!$1:$1048576</definedName>
    <definedName name="MLNKccb51072f7bc401d9e9c49add0b4c16f" hidden="1">      '[17]Ouput P&amp;L'!$B$5:$X$70</definedName>
    <definedName name="MLNKcd23ca3c793946298f0c8701f43f7478" hidden="1">   '[17]S&amp;U and Cap Table'!$B$14:$L$53</definedName>
    <definedName name="MLNKcd2bf509d2c44225b46ed0c2c8398ba3" hidden="1">      '[18]Ouput P&amp;L'!$B$5:$X$67</definedName>
    <definedName name="MLNKcd6421376b2a441289da69945b0620f2" hidden="1">   '[18]Acquisitions P&amp;L'!$1:$1048576</definedName>
    <definedName name="MLNKd00f8474508342fdb1807e9330b7ccd9" hidden="1">   '[16]Output P&amp;L w Acq RFP'!$1:$1048576</definedName>
    <definedName name="MLNKd08dd73829e14dc7a43a08f924b7b585" hidden="1">   '[16]EBITDA Waterfall'!$1:$1048576</definedName>
    <definedName name="MLNKd0f9650b81c94ada81aabe040e022590" hidden="1">#REF!</definedName>
    <definedName name="MLNKd1aeed0bd75b41a38f730023155dcb6a" hidden="1">   '[16]Consolidated P&amp;L'!$1:$1048576</definedName>
    <definedName name="MLNKd1d68a911362419084a01d4b710d45b0" hidden="1">   '[18]EBITDA Waterfall'!$A$14:$V$105</definedName>
    <definedName name="MLNKd24d0c36e5eb4e11b620722fe2ca4f74" hidden="1">#REF!</definedName>
    <definedName name="MLNKd25f4343c5a1496e9d7853fc00c09c1d" hidden="1">   [18]Synergies!$1:$1048576</definedName>
    <definedName name="MLNKd29e7b1647834c4795726914755d7bba" hidden="1">   '[18]PRIME EBITDA Waterfall '!$1:$1048576</definedName>
    <definedName name="MLNKd38844a5c2b34407936a79a09f3c3744" hidden="1">   '[18]S&amp;U and Cap Table'!$1:$1048576</definedName>
    <definedName name="MLNKd3afab63c4774484b068f0a84ef793a8" hidden="1">     [16]LBO!$1:$1048576</definedName>
    <definedName name="MLNKd410a50098364b92b4af6dc81dbeffd9" hidden="1">   [18]Synergies!$1:$1048576</definedName>
    <definedName name="MLNKd4326046bc2c447c9ef510d06ff6f5d2" hidden="1">     '[16]Output P&amp;L - Base &amp; Downside'!$B$4:$N$38</definedName>
    <definedName name="MLNKd4c59a7b73c3490c9164b04cc69e1fb0" hidden="1">   '[16]Consolidated P&amp;L'!$1:$1048576</definedName>
    <definedName name="MLNKd587e632f8884cd98ac8044422f8c68e" hidden="1">   '[18]CHEP EBITDA Waterfall'!$1:$1048576</definedName>
    <definedName name="MLNKd5a79ab0b0be4a458844b12e74758db4" hidden="1">   [16]LBO!$1:$1048576</definedName>
    <definedName name="MLNKd5ec260cd4dc4e77ade196c8ff2f4e0f" hidden="1">   [18]Synergies!$1:$1048576</definedName>
    <definedName name="MLNKd64a2a20ca094a2788fa9ebd004a1558" hidden="1">   '[16]Transaction Comps'!$1:$1048576</definedName>
    <definedName name="MLNKd677b7b5a9f341be9cafb941d98e17a1" hidden="1">   '[16]Consolidated P&amp;L'!$1:$1048576</definedName>
    <definedName name="MLNKd782d3013e9c45919dd496baa03d7608" hidden="1">   '[16]Output S&amp;U'!$C$7:$K$20</definedName>
    <definedName name="MLNKd82246f7ef83404ab54cc6af14a9ee5e" hidden="1">   '[16]Seller Payout Analysis'!#REF!</definedName>
    <definedName name="MLNKd83cf5a04076498cae0dc1cb42cf46fd" hidden="1">     '[16]Output P&amp;L - Base &amp; Downside'!$1:$1048576</definedName>
    <definedName name="MLNKd8d4a1b9d7784a5a9a332b51c86d7336" hidden="1">   '[16]Seller Payout Analysis'!#REF!</definedName>
    <definedName name="MLNKd8f6f0886f2646b8bb39cefca4fd715b" hidden="1">   '[16]EBITDA Waterfall'!$1:$1048576</definedName>
    <definedName name="MLNKd920d84597054658b7676f5610a6dc69" hidden="1">     '[16]Contract Analysis'!$1:$1048576</definedName>
    <definedName name="MLNKd95a6fef9ac5460a9f1d089ea78ab11f" hidden="1">   '[17]EBITDA Waterfall'!$1:$1048576</definedName>
    <definedName name="MLNKd97de362fabb4c8ca457fa14af45acf1" hidden="1">   '[18]EBITDA Waterfall'!$1:$1048576</definedName>
    <definedName name="MLNKd9cd50ff00f149d991bf83637be6474b" hidden="1">   '[18]Transaction Comps'!$1:$1048576</definedName>
    <definedName name="MLNKd9f2263c8cf643ddb6b5f22416e8180f" hidden="1">   '[17]Acquisitions P&amp;L'!$B$4:$O$31</definedName>
    <definedName name="MLNKdad25bc3eb0146b699500666e20dd024" hidden="1">   '[16]Consolidated P&amp;L'!$1:$1048576</definedName>
    <definedName name="MLNKdc70584bb92d4dd7947da19785c0fef5" hidden="1">   [18]Synergies!$1:$1048576</definedName>
    <definedName name="MLNKdce109761edc4bba97a866a18c1a9e2b" hidden="1">   '[17]S&amp;U and Cap Table'!$1:$1048576</definedName>
    <definedName name="MLNKdda077ff08444c5a87c82df219c530e9" hidden="1">   '[16]Output P&amp;L'!$C$4:$S$58</definedName>
    <definedName name="MLNKde72dd9953be4f0e9f2c0eaafe8f123e" hidden="1">   [18]Synergies!$B$7:$I$33</definedName>
    <definedName name="MLNKdeb07592c7da4467ac3710e87a37d11c" hidden="1">   '[16]Consolidated P&amp;L'!$1:$1048576</definedName>
    <definedName name="MLNKdee9d3e3ff524a989bd29d4f22d4e660" hidden="1">      '[18]Ouput P&amp;L'!$B$5:$X$67</definedName>
    <definedName name="MLNKdf7a462021ea4f4e8b09c76b4ed369e7" hidden="1">#REF!</definedName>
    <definedName name="MLNKe048566a48a9493bb5e56dbcf5b977a3" hidden="1">     '[16]Output P&amp;L - Base &amp; Downside'!$1:$1048576</definedName>
    <definedName name="MLNKe05ccd5e9f88480690386f92480f0851" hidden="1">   [17]PPR!$A$1:$P$28</definedName>
    <definedName name="MLNKe0a98c21ab8e4620b0f8c21693e5282a" hidden="1">   '[17]S&amp;U and Cap Table'!$1:$1048576</definedName>
    <definedName name="MLNKe0aa559f18424c65af442f36193bd817" hidden="1">   '[17]EBITDA Waterfall'!$A$14:$T$67</definedName>
    <definedName name="MLNKe0dfe920c0904fedbae688d40a660fd7" hidden="1">   '[17]Returns Sensitivities'!$1:$1048576</definedName>
    <definedName name="MLNKe10ecc863c7a429d98e01dc28fb8a5c0" hidden="1">   '[17]EBITDA Waterfall'!$1:$1048576</definedName>
    <definedName name="MLNKe1299e520eb9486d86c3b07f2e2816ef" hidden="1">   '[16]Contract Analysis'!$1:$1048576</definedName>
    <definedName name="MLNKe1e32c5e94df480b8431e18180a09272" hidden="1">   '[16]Consolidated P&amp;L'!$1:$1048576</definedName>
    <definedName name="MLNKe2576801ceff48e5ac0784bba83cd6a1" hidden="1">#REF!</definedName>
    <definedName name="MLNKe2dc548a97954aa8bb1f92e16636cb1a" hidden="1">   '[16]Consolidated P&amp;L'!$1:$1048576</definedName>
    <definedName name="MLNKe4156a078ceb47c28d6cf5417f296a7f" hidden="1">     '[16]Contract Analysis'!$1:$1048576</definedName>
    <definedName name="MLNKe55ac507c34a47dcb08fcadb9b7b5404" hidden="1">   [18]Synergies!$B$7:$I$33</definedName>
    <definedName name="MLNKe704f93d93754b42af8cc674cd1737ed" hidden="1">   '[18]Returns Sensitivities'!$B$4:$T$50</definedName>
    <definedName name="MLNKe70e0510f61f4308ade0d60ecc4ae1bc" hidden="1">     '[16]Gina AR Aging'!$1:$1048576</definedName>
    <definedName name="MLNKe745963106b7402d9ddb6ae46cae370d" hidden="1">   '[16]Consolidated P&amp;L'!$1:$1048576</definedName>
    <definedName name="MLNKe8ab7675bd1043da994aec4de7e78a16" hidden="1">   '[18]Returns Sensitivities'!$1:$1048576</definedName>
    <definedName name="MLNKe8bd453fdbd04071898aa707bcbd2749" hidden="1">   '[18]Returns Sensitivities'!$1:$1048576</definedName>
    <definedName name="MLNKeaf27d71cc08400ba4211dfafdc7d14e" hidden="1">   '[16]Transaction Comps'!$C$4:$M$17</definedName>
    <definedName name="MLNKebf7635d45aa4f76aee2b816160a8161" hidden="1">   '[18]Returns Sensitivities'!$1:$1048576</definedName>
    <definedName name="MLNKec0a811f7e554fa497d3c9ab47c35666" hidden="1">   '[16]Seller Payout Analysis'!$1:$1048576</definedName>
    <definedName name="MLNKece968fa66824a73b4067b36644df772" hidden="1">     '[16]Output P&amp;L w Acq RFP'!$1:$1048576</definedName>
    <definedName name="MLNKed2ef9d17bc540a5b0fb200633ab8bc2" hidden="1">   [17]PPR!$1:$1048576</definedName>
    <definedName name="MLNKed644935ae1e41d786e1786587c7bb39" hidden="1">   '[18]S&amp;U and Cap Table'!$1:$1048576</definedName>
    <definedName name="MLNKed66befa23cc450fbabc4dadfe29a98e" hidden="1">     '[16]Output P&amp;L - Base &amp; Downside'!$B$4:$N$37</definedName>
    <definedName name="MLNKed7f9b1fad4349a0b40c973032f5b28a" hidden="1">#REF!</definedName>
    <definedName name="MLNKedc25d16fee04361951fea266d2c2251" hidden="1">   [18]Synergies!$B$7:$I$33</definedName>
    <definedName name="MLNKef337fb7cc6d40b7b6ea224194a4bd74" hidden="1">      '[17]Ouput P&amp;L'!$B$5:$X$70</definedName>
    <definedName name="MLNKef85b066f97440919e396b91cf9e6719" hidden="1">   '[17]EBITDA Waterfall - NB Pres.'!$1:$1048576</definedName>
    <definedName name="MLNKef920dddfa5c4192adf8d122857c9563" hidden="1">   '[18]EBITDA Waterfall'!$1:$1048576</definedName>
    <definedName name="MLNKefed93b5c391474898348b66457122d4" hidden="1">   '[16]EBITDA Waterfall'!$1:$1048576</definedName>
    <definedName name="MLNKf01bf3858c6c4227b06e3c87d8101bff" hidden="1">   [17]Sheet3!$A$5:$R$32</definedName>
    <definedName name="MLNKf0322deccf7b413596a701b25d37787c" hidden="1">     [16]LBO!$I$364:$Y$382</definedName>
    <definedName name="MLNKf09cbf72d5ab485289b04d2260c9aaf8" hidden="1">   '[18]Returns Sensitivities'!$1:$1048576</definedName>
    <definedName name="MLNKf11abb5f993a40dc91d64abf2e0c971d" hidden="1">   [17]PPR!$A$1:$P$28</definedName>
    <definedName name="MLNKf19bdf3a54c0466a99f8fb9196390096" hidden="1">  '[16]Output P&amp;L'!$1:$1048576</definedName>
    <definedName name="MLNKf1c7866a2a7d49ef924c7fc9295033af" hidden="1">   '[16]Contract Analysis'!$1:$1048576</definedName>
    <definedName name="MLNKf1dd28139f764eafaaf7c35b75d0a50e" hidden="1">   '[16]Consolidated P&amp;L'!$1:$1048576</definedName>
    <definedName name="MLNKf1df1daa1057432cabb81d786923566c" hidden="1">     '[16]Lender Model'!$1:$1048576</definedName>
    <definedName name="MLNKf2598eb46f574abf9bb03988260fda07" hidden="1">  '[16]Output P&amp;L'!$1:$1048576</definedName>
    <definedName name="MLNKf2ac972dfb2c450aa9219db73edf61a3" hidden="1">#REF!</definedName>
    <definedName name="MLNKf39b4dfd463a445a93cbe0f2ebc9910b" hidden="1">   '[18]Acquisitions P&amp;L'!$B$4:$P$32</definedName>
    <definedName name="MLNKf4c77ff8cbb54ce2b3ec3827db2c47cc" hidden="1">   '[18]Returns Sensitivities'!$1:$1048576</definedName>
    <definedName name="MLNKf4cdb252130f40aa8cd9c73a13d8dfeb" hidden="1">      '[18]Ouput P&amp;L'!$B$5:$X$67</definedName>
    <definedName name="MLNKf521fddaf19949448c43a1c425047558" hidden="1">   '[18]EBITDA Waterfall'!$1:$1048576</definedName>
    <definedName name="MLNKf5a56512831c4db68f3aad136969a7e1" hidden="1">   '[17]EBITDA Waterfall'!$1:$1048576</definedName>
    <definedName name="MLNKf696274ef7ea4bf1affdeaa9b8c9b389" hidden="1">     '[16]Gina AR Aging'!$L$5:$S$16</definedName>
    <definedName name="MLNKf70a788175114fea89f8d0cf589d9f58" hidden="1">   [18]Synergies!$1:$1048576</definedName>
    <definedName name="MLNKf72ed444cd454774974ddf39888d994d" hidden="1">   '[16]Output P&amp;L w Acq RFP'!$1:$1048576</definedName>
    <definedName name="MLNKf8cb65f78c674fe89a559351e58a482f" hidden="1">     '[16]Output P&amp;L w Acq RFP'!$B$4:$O$36</definedName>
    <definedName name="MLNKf8f415b0910e43628428169a5a3d63fa" hidden="1">   '[16]EBITDA Waterfall'!$A$3:$BI$65</definedName>
    <definedName name="MLNKf9b230d576944e30b7430bf8feda3674" hidden="1">   '[18]S&amp;U and Cap Table'!$1:$1048576</definedName>
    <definedName name="MLNKfa57340fa62541939b32270abd1d6d93" hidden="1">   '[18]Acquisitions P&amp;L'!$1:$1048576</definedName>
    <definedName name="MLNKfb54a313bba94b188eeb6bb8bbb7ba6b" hidden="1">   '[16]Seller Payout Analysis'!#REF!</definedName>
    <definedName name="MLNKfc08e1de3ef145e09d79b48c34092ae5" hidden="1">   [18]Synergies!$1:$1048576</definedName>
    <definedName name="MLNKfcb7c0d5e599405792bc1abf1663cd49" hidden="1">      '[17]Ouput P&amp;L'!$B$5:$X$70</definedName>
    <definedName name="MLNKfd07497088f9428f88767c9f533e30ef" hidden="1">     '[16]Output S&amp;U'!$C$7:$K$20</definedName>
    <definedName name="MLNKfd39a2c5efc64e91a48a0af1e41569e8" hidden="1">   '[17]EBITDA Waterfall'!$1:$1048576</definedName>
    <definedName name="MLNKfdf8c6f4e46c4625bffb3fffe6c387b4" hidden="1">     '[16]Output P&amp;L - Base &amp; Downside'!$B$4:$N$37</definedName>
    <definedName name="MLNKfeb100f5cbc940e4b3f639364e7e45a8" hidden="1">#REF!</definedName>
    <definedName name="MLNKff145866220a4a009f735a4b0145633d" hidden="1">#REF!</definedName>
    <definedName name="MLNKff7ce19a8861452ca59b4edddc449a2b" hidden="1">   '[17]S&amp;U and Cap Table - PWC SA'!$B$11:$L$47</definedName>
    <definedName name="MLNKffc5a707c72043f6b1dd546142db4383" hidden="1">   '[16]Consolidated P&amp;L'!$1:$1048576</definedName>
    <definedName name="MLNKffdfd5c17ea74ac0a210d8b7d412436e" hidden="1">#REF!</definedName>
    <definedName name="new" hidden="1">'[20]MAI Plan P&amp;L'!#REF!</definedName>
    <definedName name="Newcapexp" hidden="1">#REF!</definedName>
    <definedName name="NNN" hidden="1">{"GTI monthly IS",#N/A,FALSE,"gti";#N/A,#N/A,FALSE,"gti"}</definedName>
    <definedName name="Note" hidden="1">#REF!</definedName>
    <definedName name="Page25a"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PageNumber" hidden="1">#REF!</definedName>
    <definedName name="PriceRange" hidden="1">OFFSET([14]!PriceRangeMain,5,0,COUNTA([14]!PriceRangeMain)-COUNTA(#REF!),1)</definedName>
    <definedName name="PriceRangeMain" hidden="1">#REF!</definedName>
    <definedName name="Print_Area_MI">#REF!</definedName>
    <definedName name="Print_Area_Reset">OFFSET([14]!Full_Print,0,0,[14]!Last_Row)</definedName>
    <definedName name="Print_CSC_Report_2" hidden="1">{"CSC_1",#N/A,FALSE,"CSC Outputs";"CSC_2",#N/A,FALSE,"CSC Outputs"}</definedName>
    <definedName name="Print_Other">#N/A</definedName>
    <definedName name="Print_Reports">[21]MSIGet_Flags!$G$18</definedName>
    <definedName name="Print_Some">#N/A</definedName>
    <definedName name="Print_Table">[21]MSIGet_Flags!$K$85:$Z$119</definedName>
    <definedName name="PrintAreaPrice" hidden="1">#REF!</definedName>
    <definedName name="PriorityList">[12]Lists!$B$25:$B$27</definedName>
    <definedName name="Requestorlist">[12]Lists!$B$66:$B$67</definedName>
    <definedName name="rob" hidden="1">{"GLI-Income Statement",#N/A,FALSE,"gli";"GLI - Balance Sheet Wksht",#N/A,FALSE,"gli";"GLI-Cash Flow",#N/A,FALSE,"gli";"GLI Qtrly Stats",#N/A,FALSE,"gli"}</definedName>
    <definedName name="RunningHead" hidden="1">#REF!</definedName>
    <definedName name="SAPBEXrevision" hidden="1">1</definedName>
    <definedName name="SAPBEXsysID" hidden="1">"BWP"</definedName>
    <definedName name="SAPBEXwbID" hidden="1">"3NHWWMC0ZZM3W8VQQ8NL3OD6L"</definedName>
    <definedName name="SectionHead" hidden="1">#REF!</definedName>
    <definedName name="Sept" hidden="1">{"assets",#N/A,FALSE,"BSCON894"}</definedName>
    <definedName name="SheetState" hidden="1">"'-1:2:-1:-1:-1:-1:-1:-1:-1:-1:-1:-1:-1:-1:-1:-1:-1:-1:-1:-1:-1:-1:-1:-1:-1:-1:-1:-1:-1:-1:-1:-1:-1:-1:-1:-1:-1:-1:-1:-1:-1:-1:-1:-1:-1:-1:-1:-1:-1:-1:-1:-1:-1:-1:-1:-1:-1:-1:-1:-1:-1:-1:-1:-1:-1:-1:-1:-1:-1:-1:-1:-1:-1:-1:-1:-1:-1:-1:-1:-1:-1:-1:-1:-1"</definedName>
    <definedName name="SHIT" hidden="1">#REF!</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StartDate" hidden="1">#REF!</definedName>
    <definedName name="StatusList">[12]Lists!$B$31:$B$33</definedName>
    <definedName name="SubcategoryList">[12]Lists!$B$37:$B$63</definedName>
    <definedName name="sumariaretanm" hidden="1">{#N/A,#N/A,FALSE,"Aging Summary";#N/A,#N/A,FALSE,"Ratio Analysis";#N/A,#N/A,FALSE,"Test 120 Day Accts";#N/A,#N/A,FALSE,"Tickmarks"}</definedName>
    <definedName name="SV_ENCPT_LOGON_PWD" hidden="1">"078104085088070118116120102"</definedName>
    <definedName name="SV_ENCPT_LOGON_USER" hidden="1">"095094088070084077098115123"</definedName>
    <definedName name="Table" hidden="1">#REF!</definedName>
    <definedName name="Table1" hidden="1">#REF!</definedName>
    <definedName name="ten" hidden="1">{"ONE",#N/A,FALSE,"Sheet1"}</definedName>
    <definedName name="TextRefCopyRangeCount" hidden="1">4</definedName>
    <definedName name="Time" hidden="1">#REF!</definedName>
    <definedName name="Timestamp" hidden="1">#REF!</definedName>
    <definedName name="tru" hidden="1">[2]CLOSED!$C$54:$G$54</definedName>
    <definedName name="TRYAGAIN" hidden="1">#REF!</definedName>
    <definedName name="two" hidden="1">{"ONE",#N/A,FALSE,"Sheet1"}</definedName>
    <definedName name="two.print" hidden="1">{"month",#N/A,FALSE,"LOPL594";"ytd",#N/A,FALSE,"LOPL594"}</definedName>
    <definedName name="Type" hidden="1">#REF!</definedName>
    <definedName name="we" hidden="1">[4]TtmX!$E$30:$E$63</definedName>
    <definedName name="wrn.1995._.Budget." hidden="1">{#N/A,#N/A,FALSE,"CNSLD";#N/A,#N/A,FALSE,"GA";#N/A,#N/A,FALSE,"CS";#N/A,#N/A,FALSE,"RNDS";#N/A,#N/A,FALSE,"GFREV";#N/A,#N/A,FALSE,"CM";#N/A,#N/A,FALSE,"FB";#N/A,#N/A,FALSE,"GS"}</definedName>
    <definedName name="wrn.Aging._.and._.Trend._.Analysis." hidden="1">{#N/A,#N/A,FALSE,"Aging Summary";#N/A,#N/A,FALSE,"Ratio Analysis";#N/A,#N/A,FALSE,"Test 120 Day Accts";#N/A,#N/A,FALSE,"Tickmarks"}</definedName>
    <definedName name="wrn.all." hidden="1">{"cf",#N/A,FALSE,"Annual";"is",#N/A,FALSE,"Annual";"geo",#N/A,FALSE,"Annual";"jwt",#N/A,FALSE,"Annual";"om",#N/A,FALSE,"Annual";"other",#N/A,FALSE,"Annual";"omcontd",#N/A,FALSE,"Annual"}</definedName>
    <definedName name="wrn.assets." hidden="1">{"assets",#N/A,FALSE,"BSCON894"}</definedName>
    <definedName name="wrn.Business._.Report."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Business._.Report._1"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COMPCO." hidden="1">{"Page1",#N/A,FALSE,"CompCo";"Page2",#N/A,FALSE,"CompCo"}</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hidden="1">{"Build1",#N/A,FALSE,"Buildup";"Build2",#N/A,FALSE,"Buildup";"Build3",#N/A,FALSE,"Buildup"}</definedName>
    <definedName name="wrn.djall." hidden="1">{"djcash",#N/A,FALSE,"DJann";"djinc",#N/A,FALSE,"DJann";"djtaxes",#N/A,FALSE,"DJann";"djbuspub",#N/A,FALSE,"DJann";"djwall",#N/A,FALSE,"DJann";"djcompprs",#N/A,FALSE,"DJann";"djteler",#N/A,FALSE,"DJann"}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pall." hidden="1">{"ecpcash",#N/A,FALSE,"ECPann";"ecpinc",#N/A,FALSE,"ECPann";"ecpindia",#N/A,FALSE,"ECPann";"ecpmun",#N/A,FALSE,"ECPann";"ecpphoenix",#N/A,FALSE,"ECPann";"ecpothe",#N/A,FALSE,"ECPann";"ecpbalsht",#N/A,FALSE,"ECPann"}</definedName>
    <definedName name="wrn.ENTIRE._.DOVER._.REPORT."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GCIall." hidden="1">{"gcicash",#N/A,FALSE,"GCIINC";"gciinc",#N/A,FALSE,"GCIINC";"gciexclusa",#N/A,FALSE,"GCIINC";"usatdy",#N/A,FALSE,"GCIINC"}</definedName>
    <definedName name="wrn.gti._.qtrly._.stats." hidden="1">{"GTI monthly IS",#N/A,FALSE,"gti";#N/A,#N/A,FALSE,"gti"}</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KR._.Management._.Letter."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wrn.kriall." hidden="1">{"kricash",#N/A,FALSE,"INC";"kriinc",#N/A,FALSE,"INC";"krimiami",#N/A,FALSE,"INC";"kriother",#N/A,FALSE,"INC";"kripapers",#N/A,FALSE,"INC"}</definedName>
    <definedName name="wrn.liab." hidden="1">{#N/A,#N/A,FALSE,"BSCON894"}</definedName>
    <definedName name="wrn.mhpall." hidden="1">{"mhpcash",#N/A,FALSE,"MHPNEWX";"mhpinc",#N/A,FALSE,"MHPNEWX";"mhptax",#N/A,FALSE,"MHPNEWX";"mhpbroad",#N/A,FALSE,"MHPNEWX";"mhpeduc",#N/A,FALSE,"MHPNEWX";"mhpfin",#N/A,FALSE,"MHPNEWX";"mhpinfo",#N/A,FALSE,"MHPNEWX"}</definedName>
    <definedName name="wrn.Monthly._.Data." hidden="1">{"1999 by month",#N/A,FALSE,"Total_Company"}</definedName>
    <definedName name="wrn.nytaann." hidden="1">{"nytacash",#N/A,FALSE,"GLOBEINC";"nytainc",#N/A,FALSE,"GLOBEINC";"nytanyt",#N/A,FALSE,"GLOBEINC";"nytareg",#N/A,FALSE,"GLOBEINC";"nytaglobe",#N/A,FALSE,"GLOBEINC";"nytapprttl",#N/A,FALSE,"GLOBEINC"}</definedName>
    <definedName name="wrn.ONE." hidden="1">{"ONE",#N/A,FALSE,"Sheet1"}</definedName>
    <definedName name="wrn.Period._.Summary." hidden="1">{"Period Total g&amp;A by Line",#N/A,FALSE,"Total G&amp;A by Line";"Period Ops by Line",#N/A,FALSE,"Operations by Line";"Period Admin by Line",#N/A,FALSE,"Administrative by Line";"Period Development by Line",#N/A,FALSE,"Development by Line"}</definedName>
    <definedName name="wrn.print." hidden="1">{"month",#N/A,FALSE,"LOPL594";"ytd",#N/A,FALSE,"LOPL594"}</definedName>
    <definedName name="wrn.Print._.All." hidden="1">{#N/A,#N/A,FALSE,"Cover_Sht";#N/A,#N/A,FALSE,"FR_Contents";#N/A,#N/A,FALSE,"Con_ytd_p&amp;l";#N/A,#N/A,FALSE,"Jas_ytd_p&amp;l";#N/A,#N/A,FALSE,"Roy_ytd_p&amp;l";#N/A,#N/A,FALSE,"Customer_p&amp;l";#N/A,#N/A,FALSE,"Con_prd_p&amp;l";#N/A,#N/A,FALSE,"Jas_prd_p&amp;l";#N/A,#N/A,FALSE,"Roy_prd_p&amp;l";#N/A,#N/A,FALSE,"Cur_proj";#N/A,#N/A,FALSE,"Bal_Sht";#N/A,#N/A,FALSE,"Cash_Flow";#N/A,#N/A,FALSE,"AR_TB";#N/A,#N/A,FALSE,"Ratios";#N/A,#N/A,FALSE,"Cap_Exp";#N/A,#N/A,FALSE,"Manpwr"}</definedName>
    <definedName name="wrn.Print._.all._.GLI._.Reports." hidden="1">{"GLI-Income Statement",#N/A,FALSE,"gli";"GLI - Balance Sheet Wksht",#N/A,FALSE,"gli";"GLI-Cash Flow",#N/A,FALSE,"gli";"GLI Qtrly Stats",#N/A,FALSE,"gli"}</definedName>
    <definedName name="wrn.Print._.Monthly._.Book."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All." hidden="1">{"PA1",#N/A,FALSE,"BORDMW";"pa2",#N/A,FALSE,"BORDMW";"PA3",#N/A,FALSE,"BORDMW";"PA4",#N/A,FALSE,"BORDMW"}</definedName>
    <definedName name="wrn.printqtr." hidden="1">{"nytasecond",#N/A,FALSE,"NYTQTRS";"nytafirst",#N/A,FALSE,"NYTQTRS";"nytathird",#N/A,FALSE,"NYTQTRS";"nytafourth",#N/A,FALSE,"NYTQTRS";"nytafull",#N/A,FALSE,"NYTQTRS"}</definedName>
    <definedName name="wrn.Q3._.Prof._.Serv._.Summary." hidden="1">{"Professional Service Summary",#N/A,FALSE,"Q3 Prof Serv"}</definedName>
    <definedName name="wrn.Q3._.Professional._.service._.detail." hidden="1">{"Professional Service Detail",#N/A,FALSE,"Q3 Prof Serv"}</definedName>
    <definedName name="wrn.Qtr._.Data." hidden="1">{"1999 by qtr",#N/A,FALSE,"Total_Company"}</definedName>
    <definedName name="wrn.Report." hidden="1">{#N/A,#N/A,TRUE,"Goodyear";#N/A,#N/A,TRUE,"General Prod";#N/A,#N/A,TRUE,"GDTNA";#N/A,#N/A,TRUE,"Consolidated Aging";#N/A,#N/A,TRUE,"Payment Terms";#N/A,#N/A,TRUE,"Inputs";#N/A,#N/A,TRUE,"Ineligible_OC";#N/A,#N/A,TRUE,"Concentration";#N/A,#N/A,TRUE,"Reserves";#N/A,#N/A,TRUE,"Monthly"}</definedName>
    <definedName name="wrn.sales." hidden="1">{"sales",#N/A,FALSE,"Sales";"sales existing",#N/A,FALSE,"Sales";"sales rd1",#N/A,FALSE,"Sales";"sales rd2",#N/A,FALSE,"Sales"}</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ff._.and._.Department._.Summaries." hidden="1">{"Staff and Department Summaries",#N/A,FALSE,"Staff Revenue + Comp"}</definedName>
    <definedName name="wrn.Staff._.Detail." hidden="1">{"Staff Detail",#N/A,FALSE,"Staff Revenue + Comp"}</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Test." hidden="1">{#N/A,#N/A,FALSE,"Availability";#N/A,#N/A,FALSE,"Loan Stats";#N/A,#N/A,FALSE,"Clltrl Ln Smmry";#N/A,#N/A,FALSE,"AR Stats";#N/A,#N/A,FALSE,"AR Sum";#N/A,#N/A,FALSE,"Recs";#N/A,#N/A,FALSE,"Ship,CM Rev"}</definedName>
    <definedName name="wrn.TMCALL." hidden="1">{"tmccash",#N/A,FALSE,"INCX";"tmcinc",#N/A,FALSE,"INCX";"tmcpretx",#N/A,FALSE,"INCX";"tmcadrev",#N/A,FALSE,"INCX";"tmcbooks",#N/A,FALSE,"INCX"}</definedName>
    <definedName name="wrn.trball." hidden="1">{"trbcash",#N/A,FALSE,"INCPF";"trbinc",#N/A,FALSE,"INCPF";"trbchic",#N/A,FALSE,"INCPF";"trbadrev",#N/A,FALSE,"INCPF";"trbstns",#N/A,FALSE,"INCPF";"trbtvstns",#N/A,FALSE,"INCPF"}</definedName>
    <definedName name="wrn.wpoall." hidden="1">{"wpocash",#N/A,FALSE,"WPOALLT";"wpoinc",#N/A,FALSE,"WPOALLT";"wpoexcl",#N/A,FALSE,"WPOALLT";"wpocable",#N/A,FALSE,"WPOALLT";"wpobroad",#N/A,FALSE,"WPOALLT";"wpopost",#N/A,FALSE,"WPOALLT";"wponwsweek",#N/A,FALSE,"WPOALLT"}</definedName>
    <definedName name="XAxisIncr" hidden="1">#REF!</definedName>
    <definedName name="XREF_COLUMN_1" hidden="1">[23]STATISTICS!#REF!</definedName>
    <definedName name="XREF_COLUMN_2" hidden="1">#REF!</definedName>
    <definedName name="XREF_COLUMN_3" hidden="1">#REF!</definedName>
    <definedName name="XREF_COLUMN_4" hidden="1">#REF!</definedName>
    <definedName name="XRefActiveRow" hidden="1">#REF!</definedName>
    <definedName name="XRefColumnsCount" hidden="1">4</definedName>
    <definedName name="XRefCopy1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RangeCount" hidden="1">8</definedName>
    <definedName name="XRefPaste1" hidden="1">#REF!</definedName>
    <definedName name="XRefPaste1Row" hidden="1">#REF!</definedName>
    <definedName name="XRefPaste2" hidden="1">#REF!</definedName>
    <definedName name="XRefPaste2Row" hidden="1">#REF!</definedName>
    <definedName name="XRefPasteRangeCount" hidden="1">2</definedName>
    <definedName name="xxx"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YAxisIncr" hidden="1">#REF!</definedName>
    <definedName name="YAxisMax" hidden="1">#REF!</definedName>
    <definedName name="YAxisMin" hidden="1">#REF!</definedName>
    <definedName name="zxxx"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_xlnm.Print_Titles" localSheetId="0">'Priority Census Template'!$17:$17</definedName>
    <definedName name="_xlnm._FilterDatabase" localSheetId="1" hidden="1">'Census Definitions'!$A$1:$C$58</definedName>
  </definedNames>
  <calcPr calcId="191028" fullCalcOnLoad="1"/>
</workbook>
</file>

<file path=xl/styles.xml><?xml version="1.0" encoding="utf-8"?>
<styleSheet xmlns="http://schemas.openxmlformats.org/spreadsheetml/2006/main">
  <numFmts count="1">
    <numFmt numFmtId="164" formatCode="mm/dd/yy;@"/>
  </numFmts>
  <fonts count="20">
    <font>
      <name val="Aptos Narrow"/>
      <family val="2"/>
      <color theme="1"/>
      <sz val="11"/>
      <scheme val="minor"/>
    </font>
    <font>
      <name val="Arial"/>
      <family val="2"/>
      <sz val="10"/>
    </font>
    <font>
      <name val="Aptos Narrow"/>
      <family val="2"/>
      <sz val="10"/>
      <scheme val="minor"/>
    </font>
    <font>
      <name val="Aptos Narrow"/>
      <family val="2"/>
      <b val="1"/>
      <color indexed="9"/>
      <sz val="10"/>
      <scheme val="minor"/>
    </font>
    <font>
      <name val="Aptos Narrow"/>
      <family val="2"/>
      <color theme="1"/>
      <sz val="12"/>
      <scheme val="minor"/>
    </font>
    <font>
      <name val="Aptos Narrow"/>
      <family val="2"/>
      <b val="1"/>
      <color rgb="FFFFFFFF"/>
      <sz val="10"/>
      <scheme val="minor"/>
    </font>
    <font>
      <name val="Aptos Narrow"/>
      <b val="1"/>
      <color rgb="FFFFFFFF"/>
      <sz val="16"/>
      <scheme val="minor"/>
    </font>
    <font>
      <name val="Aptos Narrow"/>
      <b val="1"/>
      <sz val="16"/>
      <scheme val="minor"/>
    </font>
    <font>
      <name val="Aptos Narrow"/>
      <family val="2"/>
      <b val="1"/>
      <sz val="16"/>
      <scheme val="minor"/>
    </font>
    <font>
      <name val="Aptos Narrow"/>
      <family val="2"/>
      <b val="1"/>
      <color indexed="10"/>
      <sz val="12"/>
      <scheme val="minor"/>
    </font>
    <font>
      <name val="Aptos Narrow"/>
      <family val="2"/>
      <b val="1"/>
      <sz val="12"/>
      <scheme val="minor"/>
    </font>
    <font>
      <name val="Aptos Narrow"/>
      <family val="2"/>
      <b val="1"/>
      <color theme="0"/>
      <sz val="10"/>
      <u val="single"/>
      <scheme val="minor"/>
    </font>
    <font>
      <name val="Aptos Narrow"/>
      <family val="2"/>
      <b val="1"/>
      <sz val="10"/>
      <u val="single"/>
      <scheme val="minor"/>
    </font>
    <font>
      <name val="Arial"/>
      <family val="2"/>
      <b val="1"/>
      <color rgb="FF000000"/>
      <sz val="11"/>
    </font>
    <font>
      <name val="Arial"/>
      <family val="2"/>
      <color rgb="FF000000"/>
      <sz val="10"/>
    </font>
    <font>
      <name val="Arial"/>
      <family val="2"/>
      <color rgb="FF000000"/>
      <sz val="11"/>
    </font>
    <font>
      <name val="Arial"/>
      <family val="2"/>
      <b val="1"/>
      <color rgb="FFFF0000"/>
      <sz val="11"/>
    </font>
    <font>
      <name val="Arial"/>
      <family val="2"/>
      <b val="1"/>
      <color rgb="FFFF0000"/>
      <sz val="10"/>
    </font>
    <font>
      <name val="Tahoma"/>
      <family val="2"/>
      <color indexed="81"/>
      <sz val="9"/>
    </font>
    <font>
      <name val="Tahoma"/>
      <family val="2"/>
      <b val="1"/>
      <color indexed="81"/>
      <sz val="9"/>
    </font>
  </fonts>
  <fills count="11">
    <fill>
      <patternFill/>
    </fill>
    <fill>
      <patternFill patternType="gray125"/>
    </fill>
    <fill>
      <patternFill patternType="solid">
        <fgColor theme="4" tint="-0.499984740745262"/>
        <bgColor indexed="64"/>
      </patternFill>
    </fill>
    <fill>
      <patternFill patternType="solid">
        <fgColor rgb="FF0B3040"/>
        <bgColor rgb="FF000000"/>
      </patternFill>
    </fill>
    <fill>
      <patternFill patternType="solid">
        <fgColor theme="3" tint="0.09997863704336681"/>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rgb="FFFF786D"/>
        <bgColor indexed="64"/>
      </patternFill>
    </fill>
    <fill>
      <patternFill patternType="solid">
        <fgColor rgb="FFBFBFBF"/>
        <bgColor indexed="64"/>
      </patternFill>
    </fill>
    <fill>
      <patternFill patternType="solid">
        <fgColor rgb="FFFFFFFF"/>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auto="1"/>
      </right>
      <top style="thin">
        <color auto="1"/>
      </top>
      <bottom style="medium">
        <color auto="1"/>
      </bottom>
      <diagonal/>
    </border>
    <border>
      <left/>
      <right style="thin">
        <color auto="1"/>
      </right>
      <top style="thin">
        <color auto="1"/>
      </top>
      <bottom style="thin">
        <color auto="1"/>
      </bottom>
      <diagonal/>
    </border>
    <border>
      <left/>
      <right style="thin">
        <color indexed="64"/>
      </right>
      <top style="thin">
        <color indexed="64"/>
      </top>
      <bottom/>
      <diagonal/>
    </border>
    <border>
      <left/>
      <right/>
      <top style="thin">
        <color auto="1"/>
      </top>
      <bottom style="medium">
        <color auto="1"/>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auto="1"/>
      </right>
      <top style="medium">
        <color auto="1"/>
      </top>
      <bottom style="thin">
        <color auto="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auto="1"/>
      </bottom>
      <diagonal/>
    </border>
    <border>
      <left/>
      <right/>
      <top style="medium">
        <color auto="1"/>
      </top>
      <bottom/>
      <diagonal/>
    </border>
    <border>
      <left style="medium">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4">
    <xf numFmtId="0" fontId="0" fillId="0" borderId="0"/>
    <xf numFmtId="0" fontId="1" fillId="0" borderId="0"/>
    <xf numFmtId="0" fontId="4" fillId="0" borderId="0"/>
    <xf numFmtId="0" fontId="1" fillId="0" borderId="0"/>
  </cellStyleXfs>
  <cellXfs count="60">
    <xf numFmtId="0" fontId="0" fillId="0" borderId="0" pivotButton="0" quotePrefix="0" xfId="0"/>
    <xf numFmtId="0" fontId="2" fillId="0" borderId="0" pivotButton="0" quotePrefix="0" xfId="1"/>
    <xf numFmtId="0" fontId="2" fillId="0" borderId="0" applyAlignment="1" pivotButton="0" quotePrefix="0" xfId="1">
      <alignment horizontal="center"/>
    </xf>
    <xf numFmtId="14" fontId="2" fillId="0" borderId="0" applyAlignment="1" pivotButton="0" quotePrefix="0" xfId="1">
      <alignment horizontal="center"/>
    </xf>
    <xf numFmtId="0" fontId="2" fillId="0" borderId="0" applyAlignment="1" pivotButton="0" quotePrefix="0" xfId="1">
      <alignment horizontal="left"/>
    </xf>
    <xf numFmtId="164" fontId="2" fillId="0" borderId="0" applyAlignment="1" pivotButton="0" quotePrefix="0" xfId="1">
      <alignment horizontal="center"/>
    </xf>
    <xf numFmtId="14" fontId="2" fillId="0" borderId="0" applyAlignment="1" pivotButton="0" quotePrefix="1" xfId="1">
      <alignment horizontal="center"/>
    </xf>
    <xf numFmtId="0" fontId="2" fillId="0" borderId="2" applyAlignment="1" pivotButton="0" quotePrefix="0" xfId="1">
      <alignment horizontal="center"/>
    </xf>
    <xf numFmtId="0" fontId="2" fillId="0" borderId="2" pivotButton="0" quotePrefix="0" xfId="1"/>
    <xf numFmtId="0" fontId="2" fillId="0" borderId="3" pivotButton="0" quotePrefix="0" xfId="1"/>
    <xf numFmtId="0" fontId="2" fillId="0" borderId="4" pivotButton="0" quotePrefix="0" xfId="1"/>
    <xf numFmtId="164" fontId="2" fillId="0" borderId="4" applyAlignment="1" pivotButton="0" quotePrefix="0" xfId="1">
      <alignment horizontal="center"/>
    </xf>
    <xf numFmtId="164" fontId="2" fillId="0" borderId="5" applyAlignment="1" pivotButton="0" quotePrefix="0" xfId="1">
      <alignment horizontal="center"/>
    </xf>
    <xf numFmtId="164" fontId="2" fillId="0" borderId="1" applyAlignment="1" pivotButton="0" quotePrefix="0" xfId="1">
      <alignment horizontal="center"/>
    </xf>
    <xf numFmtId="14" fontId="2" fillId="0" borderId="1" applyAlignment="1" pivotButton="0" quotePrefix="0" xfId="1">
      <alignment horizontal="center"/>
    </xf>
    <xf numFmtId="14" fontId="2" fillId="0" borderId="2" applyAlignment="1" pivotButton="0" quotePrefix="0" xfId="1">
      <alignment horizontal="center"/>
    </xf>
    <xf numFmtId="0" fontId="2" fillId="0" borderId="2" applyAlignment="1" pivotButton="0" quotePrefix="0" xfId="1">
      <alignment horizontal="left"/>
    </xf>
    <xf numFmtId="0" fontId="2" fillId="0" borderId="6" applyAlignment="1" pivotButton="0" quotePrefix="0" xfId="1">
      <alignment horizontal="left"/>
    </xf>
    <xf numFmtId="0" fontId="2" fillId="0" borderId="7" pivotButton="0" quotePrefix="0" xfId="1"/>
    <xf numFmtId="0" fontId="2" fillId="0" borderId="1" applyAlignment="1" pivotButton="0" quotePrefix="0" xfId="1">
      <alignment horizontal="center"/>
    </xf>
    <xf numFmtId="0" fontId="2" fillId="0" borderId="1" pivotButton="0" quotePrefix="0" xfId="1"/>
    <xf numFmtId="0" fontId="2" fillId="0" borderId="1" applyAlignment="1" pivotButton="0" quotePrefix="0" xfId="1">
      <alignment horizontal="left"/>
    </xf>
    <xf numFmtId="0" fontId="2" fillId="0" borderId="8" applyAlignment="1" pivotButton="0" quotePrefix="0" xfId="1">
      <alignment horizontal="left"/>
    </xf>
    <xf numFmtId="0" fontId="2" fillId="0" borderId="9" pivotButton="0" quotePrefix="0" xfId="1"/>
    <xf numFmtId="14" fontId="2" fillId="0" borderId="1" applyAlignment="1" pivotButton="0" quotePrefix="1" xfId="1">
      <alignment horizontal="center"/>
    </xf>
    <xf numFmtId="0" fontId="2" fillId="0" borderId="0" applyAlignment="1" pivotButton="0" quotePrefix="0" xfId="1">
      <alignment horizontal="center" vertical="center" wrapText="1"/>
    </xf>
    <xf numFmtId="0" fontId="3" fillId="2" borderId="10" applyAlignment="1" pivotButton="0" quotePrefix="0" xfId="1">
      <alignment horizontal="center" vertical="center" wrapText="1"/>
    </xf>
    <xf numFmtId="0" fontId="3" fillId="2" borderId="11" applyAlignment="1" pivotButton="0" quotePrefix="0" xfId="1">
      <alignment horizontal="center" vertical="center" wrapText="1"/>
    </xf>
    <xf numFmtId="0" fontId="3" fillId="2" borderId="12" applyAlignment="1" pivotButton="0" quotePrefix="0" xfId="1">
      <alignment horizontal="center" vertical="center" wrapText="1"/>
    </xf>
    <xf numFmtId="0" fontId="5" fillId="3" borderId="13" applyAlignment="1" pivotButton="0" quotePrefix="0" xfId="2">
      <alignment horizontal="center" vertical="center" wrapText="1"/>
    </xf>
    <xf numFmtId="0" fontId="5" fillId="3" borderId="14" applyAlignment="1" pivotButton="0" quotePrefix="0" xfId="2">
      <alignment horizontal="center" vertical="center" wrapText="1"/>
    </xf>
    <xf numFmtId="0" fontId="3" fillId="2" borderId="14" applyAlignment="1" pivotButton="0" quotePrefix="0" xfId="1">
      <alignment horizontal="center" vertical="center" wrapText="1"/>
    </xf>
    <xf numFmtId="0" fontId="3" fillId="2" borderId="13" applyAlignment="1" pivotButton="0" quotePrefix="0" xfId="1">
      <alignment horizontal="center" vertical="center" wrapText="1"/>
    </xf>
    <xf numFmtId="0" fontId="3" fillId="2" borderId="15" applyAlignment="1" pivotButton="0" quotePrefix="0" xfId="1">
      <alignment horizontal="center" vertical="center" wrapText="1"/>
    </xf>
    <xf numFmtId="0" fontId="3" fillId="2" borderId="12" applyAlignment="1" pivotButton="0" quotePrefix="0" xfId="3">
      <alignment horizontal="center" vertical="center" wrapText="1"/>
    </xf>
    <xf numFmtId="0" fontId="7" fillId="6" borderId="16" applyAlignment="1" pivotButton="0" quotePrefix="0" xfId="1">
      <alignment horizontal="center"/>
    </xf>
    <xf numFmtId="0" fontId="2" fillId="0" borderId="0" applyAlignment="1" pivotButton="0" quotePrefix="0" xfId="1">
      <alignment horizontal="center" vertical="center"/>
    </xf>
    <xf numFmtId="0" fontId="8" fillId="8" borderId="0" applyAlignment="1" pivotButton="0" quotePrefix="0" xfId="1">
      <alignment horizontal="center" vertical="center"/>
    </xf>
    <xf numFmtId="0" fontId="2" fillId="0" borderId="17" pivotButton="0" quotePrefix="0" xfId="1"/>
    <xf numFmtId="0" fontId="9" fillId="0" borderId="0" applyAlignment="1" pivotButton="0" quotePrefix="0" xfId="1">
      <alignment horizontal="left"/>
    </xf>
    <xf numFmtId="0" fontId="10" fillId="0" borderId="17" pivotButton="0" quotePrefix="0" xfId="1"/>
    <xf numFmtId="0" fontId="10" fillId="0" borderId="18" pivotButton="0" quotePrefix="0" xfId="1"/>
    <xf numFmtId="0" fontId="3" fillId="2" borderId="16" pivotButton="0" quotePrefix="0" xfId="1"/>
    <xf numFmtId="0" fontId="3" fillId="2" borderId="0" pivotButton="0" quotePrefix="0" xfId="1"/>
    <xf numFmtId="0" fontId="11" fillId="2" borderId="17" pivotButton="0" quotePrefix="0" xfId="1"/>
    <xf numFmtId="0" fontId="12" fillId="2" borderId="17" pivotButton="0" quotePrefix="0" xfId="1"/>
    <xf numFmtId="0" fontId="3" fillId="2" borderId="17" pivotButton="0" quotePrefix="0" xfId="1"/>
    <xf numFmtId="0" fontId="13" fillId="9" borderId="1" pivotButton="0" quotePrefix="0" xfId="0"/>
    <xf numFmtId="0" fontId="13" fillId="9" borderId="4" pivotButton="0" quotePrefix="0" xfId="0"/>
    <xf numFmtId="0" fontId="14" fillId="10" borderId="19" pivotButton="0" quotePrefix="0" xfId="0"/>
    <xf numFmtId="0" fontId="14" fillId="10" borderId="20" pivotButton="0" quotePrefix="0" xfId="0"/>
    <xf numFmtId="0" fontId="15" fillId="0" borderId="20" pivotButton="0" quotePrefix="0" xfId="0"/>
    <xf numFmtId="0" fontId="16" fillId="0" borderId="20" pivotButton="0" quotePrefix="0" xfId="0"/>
    <xf numFmtId="0" fontId="17" fillId="10" borderId="20" pivotButton="0" quotePrefix="0" xfId="0"/>
    <xf numFmtId="0" fontId="7" fillId="7" borderId="16" applyAlignment="1" pivotButton="0" quotePrefix="0" xfId="1">
      <alignment horizontal="center"/>
    </xf>
    <xf numFmtId="0" fontId="7" fillId="6" borderId="16" applyAlignment="1" pivotButton="0" quotePrefix="0" xfId="1">
      <alignment horizontal="center"/>
    </xf>
    <xf numFmtId="0" fontId="8" fillId="8" borderId="0" applyAlignment="1" pivotButton="0" quotePrefix="0" xfId="1">
      <alignment horizontal="left" vertical="center"/>
    </xf>
    <xf numFmtId="0" fontId="6" fillId="4" borderId="16" applyAlignment="1" pivotButton="0" quotePrefix="0" xfId="1">
      <alignment horizontal="center"/>
    </xf>
    <xf numFmtId="0" fontId="6" fillId="5" borderId="16" applyAlignment="1" pivotButton="0" quotePrefix="0" xfId="1">
      <alignment horizontal="center"/>
    </xf>
    <xf numFmtId="0" fontId="0" fillId="0" borderId="16" pivotButton="0" quotePrefix="0" xfId="0"/>
  </cellXfs>
  <cellStyles count="4">
    <cellStyle name="Normal" xfId="0" builtinId="0"/>
    <cellStyle name="Normal 2 2" xfId="1"/>
    <cellStyle name="Normal 2" xfId="2"/>
    <cellStyle name="Normal_Census Template MEDICAL 3-7-08"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externalLink" Target="/xl/externalLinks/externalLink2.xml" Id="rId5"/><Relationship Type="http://schemas.openxmlformats.org/officeDocument/2006/relationships/externalLink" Target="/xl/externalLinks/externalLink3.xml" Id="rId6"/><Relationship Type="http://schemas.openxmlformats.org/officeDocument/2006/relationships/externalLink" Target="/xl/externalLinks/externalLink4.xml" Id="rId7"/><Relationship Type="http://schemas.openxmlformats.org/officeDocument/2006/relationships/externalLink" Target="/xl/externalLinks/externalLink5.xml" Id="rId8"/><Relationship Type="http://schemas.openxmlformats.org/officeDocument/2006/relationships/externalLink" Target="/xl/externalLinks/externalLink6.xml" Id="rId9"/><Relationship Type="http://schemas.openxmlformats.org/officeDocument/2006/relationships/externalLink" Target="/xl/externalLinks/externalLink7.xml" Id="rId10"/><Relationship Type="http://schemas.openxmlformats.org/officeDocument/2006/relationships/externalLink" Target="/xl/externalLinks/externalLink8.xml" Id="rId11"/><Relationship Type="http://schemas.openxmlformats.org/officeDocument/2006/relationships/externalLink" Target="/xl/externalLinks/externalLink9.xml" Id="rId12"/><Relationship Type="http://schemas.openxmlformats.org/officeDocument/2006/relationships/externalLink" Target="/xl/externalLinks/externalLink10.xml" Id="rId13"/><Relationship Type="http://schemas.openxmlformats.org/officeDocument/2006/relationships/externalLink" Target="/xl/externalLinks/externalLink11.xml" Id="rId14"/><Relationship Type="http://schemas.openxmlformats.org/officeDocument/2006/relationships/externalLink" Target="/xl/externalLinks/externalLink12.xml" Id="rId15"/><Relationship Type="http://schemas.openxmlformats.org/officeDocument/2006/relationships/externalLink" Target="/xl/externalLinks/externalLink13.xml" Id="rId16"/><Relationship Type="http://schemas.openxmlformats.org/officeDocument/2006/relationships/externalLink" Target="/xl/externalLinks/externalLink14.xml" Id="rId17"/><Relationship Type="http://schemas.openxmlformats.org/officeDocument/2006/relationships/externalLink" Target="/xl/externalLinks/externalLink15.xml" Id="rId18"/><Relationship Type="http://schemas.openxmlformats.org/officeDocument/2006/relationships/externalLink" Target="/xl/externalLinks/externalLink16.xml" Id="rId19"/><Relationship Type="http://schemas.openxmlformats.org/officeDocument/2006/relationships/externalLink" Target="/xl/externalLinks/externalLink17.xml" Id="rId20"/><Relationship Type="http://schemas.openxmlformats.org/officeDocument/2006/relationships/externalLink" Target="/xl/externalLinks/externalLink18.xml" Id="rId21"/><Relationship Type="http://schemas.openxmlformats.org/officeDocument/2006/relationships/externalLink" Target="/xl/externalLinks/externalLink19.xml" Id="rId22"/><Relationship Type="http://schemas.openxmlformats.org/officeDocument/2006/relationships/externalLink" Target="/xl/externalLinks/externalLink20.xml" Id="rId23"/><Relationship Type="http://schemas.openxmlformats.org/officeDocument/2006/relationships/externalLink" Target="/xl/externalLinks/externalLink21.xml" Id="rId24"/><Relationship Type="http://schemas.openxmlformats.org/officeDocument/2006/relationships/externalLink" Target="/xl/externalLinks/externalLink22.xml" Id="rId25"/><Relationship Type="http://schemas.openxmlformats.org/officeDocument/2006/relationships/externalLink" Target="/xl/externalLinks/externalLink23.xml" Id="rId26"/><Relationship Type="http://schemas.openxmlformats.org/officeDocument/2006/relationships/styles" Target="styles.xml" Id="rId27"/><Relationship Type="http://schemas.openxmlformats.org/officeDocument/2006/relationships/theme" Target="theme/theme1.xml" Id="rId28"/></Relationships>
</file>

<file path=xl/comments/comment1.xml><?xml version="1.0" encoding="utf-8"?>
<comments xmlns="http://schemas.openxmlformats.org/spreadsheetml/2006/main">
  <authors>
    <author>Lanier Mason</author>
  </authors>
  <commentList>
    <comment ref="A1" authorId="0" shapeId="0">
      <text>
        <t>Lanier Mason:
Note, the following definitions are an initial draft from Arthur Labs. Nine Dean is in the process of confirming the definitions and the data type for each column in the census</t>
      </text>
    </comment>
  </commentList>
</comments>
</file>

<file path=xl/externalLinks/_rels/externalLink1.xml.rels><Relationships xmlns="http://schemas.openxmlformats.org/package/2006/relationships"><Relationship Type="http://schemas.microsoft.com/office/2006/relationships/xlExternalLinkPath/xlPathMissing" Target="Updated%20Network%20QTRLY%20Forecast%20Comparison%20FY%202002.xls" TargetMode="External" Id="rId1"/></Relationships>
</file>

<file path=xl/externalLinks/_rels/externalLink2.xml.rels><Relationships xmlns="http://schemas.openxmlformats.org/package/2006/relationships"><Relationship Type="http://schemas.openxmlformats.org/officeDocument/2006/relationships/externalLinkPath" Target="https://d.docs.live.net/C:/EXCEL/BOARD.XLS" TargetMode="External" Id="rId1"/></Relationships>
</file>

<file path=xl/externalLinks/_rels/externalLink3.xml.rels><Relationships xmlns="http://schemas.openxmlformats.org/package/2006/relationships"><Relationship Type="http://schemas.openxmlformats.org/officeDocument/2006/relationships/externalLinkPath" Target="https://d.docs.live.net/C:/My%20Documents/excel/Plan-08/Plan%20Presentation_08P%20w07%20est.xls" TargetMode="External" Id="rId1"/></Relationships>
</file>

<file path=xl/externalLinks/_rels/externalLink4.xml.rels><Relationships xmlns="http://schemas.openxmlformats.org/package/2006/relationships"><Relationship Type="http://schemas.openxmlformats.org/officeDocument/2006/relationships/externalLinkPath" Target="https://d.docs.live.net/C:/Program%20Files/CEO%20Tools/CEOTools/T12M.xls" TargetMode="External" Id="rId1"/></Relationships>
</file>

<file path=xl/externalLinks/_rels/externalLink5.xml.rels><Relationships xmlns="http://schemas.openxmlformats.org/package/2006/relationships"><Relationship Type="http://schemas.openxmlformats.org/officeDocument/2006/relationships/externalLinkPath" Target="https://d.docs.live.net/C:/My%20Documents/excel/Plan-05/Dov%20fin%20presentation_05P%20w04actual.xls" TargetMode="External" Id="rId1"/></Relationships>
</file>

<file path=xl/externalLinks/_rels/externalLink6.xml.rels><Relationships xmlns="http://schemas.openxmlformats.org/package/2006/relationships"><Relationship Type="http://schemas.openxmlformats.org/officeDocument/2006/relationships/externalLinkPath" Target="https://d.docs.live.net/stingray/BUS_AREAS/Documents%20and%20Settings/YehlB/Local%20Settings/Temporary%20Internet%20Files/OLK22C/MEP2005.xls" TargetMode="External" Id="rId1"/></Relationships>
</file>

<file path=xl/externalLinks/_rels/externalLink7.xml.rels><Relationships xmlns="http://schemas.openxmlformats.org/package/2006/relationships"><Relationship Type="http://schemas.openxmlformats.org/officeDocument/2006/relationships/externalLinkPath" Target="https://d.docs.live.net/F:/Documents%20and%20Settings/YehlB/Local%20Settings/Temporary%20Internet%20Files/OLK12/ConsolidatedReporting%20PackagePd5_03.xls" TargetMode="External" Id="rId1"/></Relationships>
</file>

<file path=xl/externalLinks/_rels/externalLink8.xml.rels><Relationships xmlns="http://schemas.openxmlformats.org/package/2006/relationships"><Relationship Type="http://schemas.openxmlformats.org/officeDocument/2006/relationships/externalLinkPath" Target="https://d.docs.live.net/C:/My%20Documents/excel/FS-04/Open%20Book_04P%20w03%20act.xls" TargetMode="External" Id="rId1"/></Relationships>
</file>

<file path=xl/externalLinks/_rels/externalLink9.xml.rels><Relationships xmlns="http://schemas.openxmlformats.org/package/2006/relationships"><Relationship Type="http://schemas.openxmlformats.org/officeDocument/2006/relationships/externalLinkPath" Target="https://d.docs.live.net/G:/Corporate%20Group/Finance/MEP2002.xls" TargetMode="External" Id="rId1"/></Relationships>
</file>

<file path=xl/externalLinks/_rels/externalLink10.xml.rels><Relationships xmlns="http://schemas.openxmlformats.org/package/2006/relationships"><Relationship Type="http://schemas.openxmlformats.org/officeDocument/2006/relationships/externalLinkPath" Target="https://d.docs.live.net/C:/My%20Documents/excel/_MAC_OM/MAC_Financial%20Presentation_info%20to%20Lincoln.xls" TargetMode="External" Id="rId1"/></Relationships>
</file>

<file path=xl/externalLinks/_rels/externalLink11.xml.rels><Relationships xmlns="http://schemas.openxmlformats.org/package/2006/relationships"><Relationship Type="http://schemas.openxmlformats.org/officeDocument/2006/relationships/externalLinkPath" Target="https://d.docs.live.net/M:/AMCP/COMPANIES/Paramedics%20Plus/Acquisitions/Allegiance%20Mobile%20Health/Company%20Info/Diligence%20Request%20List/EMStar%20Business%20Diligence%20Analysis%20(VDR%20-%202019.08.13)%20v5.xlsx" TargetMode="External" Id="rId1"/></Relationships>
</file>

<file path=xl/externalLinks/_rels/externalLink12.xml.rels><Relationships xmlns="http://schemas.openxmlformats.org/package/2006/relationships"><Relationship Type="http://schemas.openxmlformats.org/officeDocument/2006/relationships/externalLinkPath" Target="https://d.docs.live.net/C:/Users/dleight/AppData/Local/Microsoft/Windows/INetCache/Content.Outlook/BNMSAM7T/Project%20MedFleet%20-%20Tax%20Request%20List%20(5.12.19).xlsx" TargetMode="External" Id="rId1"/></Relationships>
</file>

<file path=xl/externalLinks/_rels/externalLink13.xml.rels><Relationships xmlns="http://schemas.openxmlformats.org/package/2006/relationships"><Relationship Type="http://schemas.openxmlformats.org/officeDocument/2006/relationships/externalLinkPath" Target="https://d.docs.live.net/C:/Users/dleight/Documents/Active%20Offline/PatientCare%20Logistics%20Solutions%20Offline/Paramedics%20Plus%20Model%20v.166.xlsx" TargetMode="External" Id="rId1"/></Relationships>
</file>

<file path=xl/externalLinks/_rels/externalLink14.xml.rels><Relationships xmlns="http://schemas.openxmlformats.org/package/2006/relationships"><Relationship Type="http://schemas.microsoft.com/office/2006/relationships/xlExternalLinkPath/xlPathMissing" Target="Book4" TargetMode="External" Id="rId1"/></Relationships>
</file>

<file path=xl/externalLinks/_rels/externalLink15.xml.rels><Relationships xmlns="http://schemas.openxmlformats.org/package/2006/relationships"><Relationship Type="http://schemas.openxmlformats.org/officeDocument/2006/relationships/externalLinkPath" Target="https://d.docs.live.net/Nasweh34/Project%20Cronus/b/beshara/M%20&amp;%20A/Wheel/model_v53j.xls" TargetMode="External" Id="rId1"/></Relationships>
</file>

<file path=xl/externalLinks/_rels/externalLink16.xml.rels><Relationships xmlns="http://schemas.openxmlformats.org/package/2006/relationships"><Relationship Type="http://schemas.openxmlformats.org/officeDocument/2006/relationships/externalLinkPath" Target="https://d.docs.live.net/M:/AMCP/COMPANIES/Paramedics%20Plus/Model/Paramedics%20Plus%20Model%20v.72.xlsx" TargetMode="External" Id="rId1"/></Relationships>
</file>

<file path=xl/externalLinks/_rels/externalLink17.xml.rels><Relationships xmlns="http://schemas.openxmlformats.org/package/2006/relationships"><Relationship Type="http://schemas.openxmlformats.org/officeDocument/2006/relationships/externalLinkPath" Target="https://d.docs.live.net/C:/Users/jrutstein/Desktop/Prime%20Woodcraft%20-%20Model%20v69%20-%20PWC%20Standalone.xlsx" TargetMode="External" Id="rId1"/></Relationships>
</file>

<file path=xl/externalLinks/_rels/externalLink18.xml.rels><Relationships xmlns="http://schemas.openxmlformats.org/package/2006/relationships"><Relationship Type="http://schemas.openxmlformats.org/officeDocument/2006/relationships/externalLinkPath" Target="https://d.docs.live.net/172.18.15.79/amcapital/AMCP/COMPANIES/Prime%20Woodcraft/Model/Prime%20Woodcraft%20-%20Model%20v44.xlsx" TargetMode="External" Id="rId1"/></Relationships>
</file>

<file path=xl/externalLinks/_rels/externalLink19.xml.rels><Relationships xmlns="http://schemas.openxmlformats.org/package/2006/relationships"><Relationship Type="http://schemas.openxmlformats.org/officeDocument/2006/relationships/externalLinkPath" Target="https://d.docs.live.net/C:/Users/dleight/Documents/Active%20Offline/PatientCare%20Logistics%20Solutions%20Offline/PatientCare%20Logistics%20Solutions%20Roll-Up%20Model%20v620.xlsx" TargetMode="External" Id="rId1"/></Relationships>
</file>

<file path=xl/externalLinks/_rels/externalLink20.xml.rels><Relationships xmlns="http://schemas.openxmlformats.org/package/2006/relationships"><Relationship Type="http://schemas.openxmlformats.org/officeDocument/2006/relationships/externalLinkPath" Target="https://d.docs.live.net/C:/My%20Documents/excel/Plan-06/Dov%20fin%20presentation_06P%20w05%20est.xls" TargetMode="External" Id="rId1"/></Relationships>
</file>

<file path=xl/externalLinks/_rels/externalLink21.xml.rels><Relationships xmlns="http://schemas.openxmlformats.org/package/2006/relationships"><Relationship Type="http://schemas.openxmlformats.org/officeDocument/2006/relationships/externalLinkPath" Target="https://d.docs.live.net/SHNW01/DATA/Documents%20and%20Settings/Kathy%20Knox/Local%20Settings/TEMP/Exterior%20Group/Cost%20as%20a%20%25%20Sales%20-%20Exterior.xls" TargetMode="External" Id="rId1"/></Relationships>
</file>

<file path=xl/externalLinks/_rels/externalLink22.xml.rels><Relationships xmlns="http://schemas.openxmlformats.org/package/2006/relationships"><Relationship Type="http://schemas.openxmlformats.org/officeDocument/2006/relationships/externalLinkPath" Target="https://d.docs.live.net/hlhz/dfs/WINDOWS/EXCEL/CY95/BUDGET/TEST.XLS" TargetMode="External" Id="rId1"/></Relationships>
</file>

<file path=xl/externalLinks/_rels/externalLink23.xml.rels><Relationships xmlns="http://schemas.openxmlformats.org/package/2006/relationships"><Relationship Type="http://schemas.microsoft.com/office/2006/relationships/xlExternalLinkPath/xlPathMissing" Target="Worksheet%20in%205330%20Allowance%20for%20Doubtful%20Accounts%20Testing%20-%20C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Facility Qtrs"/>
      <sheetName val="Qtrs"/>
      <sheetName val="Month 8"/>
      <sheetName val="Month 9"/>
      <sheetName val="Month 10"/>
      <sheetName val="Month 11"/>
      <sheetName val="Month 1"/>
      <sheetName val="Equity"/>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LOSED"/>
      <sheetName val="ARAging"/>
      <sheetName val="BACKSELL"/>
      <sheetName val="PLSUM"/>
      <sheetName val="COSTSUM"/>
      <sheetName val="CF"/>
      <sheetName val="BACKLOG"/>
      <sheetName val="KPI"/>
    </sheetNames>
    <sheetDataSet>
      <sheetData sheetId="0" refreshError="1">
        <row r="7">
          <cell r="C7" t="str">
            <v>Jan</v>
          </cell>
          <cell r="D7" t="str">
            <v>Feb</v>
          </cell>
          <cell r="E7" t="str">
            <v>Mar</v>
          </cell>
          <cell r="F7" t="str">
            <v>Apr</v>
          </cell>
          <cell r="G7" t="str">
            <v>May</v>
          </cell>
          <cell r="H7" t="str">
            <v>Jun</v>
          </cell>
          <cell r="I7" t="str">
            <v>Jul</v>
          </cell>
          <cell r="J7" t="str">
            <v>Aug</v>
          </cell>
          <cell r="K7" t="str">
            <v>Sep</v>
          </cell>
          <cell r="L7" t="str">
            <v>Oct</v>
          </cell>
          <cell r="M7" t="str">
            <v>Nov</v>
          </cell>
          <cell r="N7" t="str">
            <v>Dec</v>
          </cell>
        </row>
        <row r="10">
          <cell r="C10">
            <v>4172</v>
          </cell>
          <cell r="D10">
            <v>2264</v>
          </cell>
          <cell r="E10">
            <v>4747</v>
          </cell>
          <cell r="F10">
            <v>3823</v>
          </cell>
          <cell r="G10">
            <v>3738</v>
          </cell>
          <cell r="H10">
            <v>3911</v>
          </cell>
        </row>
        <row r="11">
          <cell r="C11">
            <v>3593</v>
          </cell>
          <cell r="D11">
            <v>1810</v>
          </cell>
          <cell r="E11">
            <v>4108</v>
          </cell>
          <cell r="F11">
            <v>3863</v>
          </cell>
          <cell r="G11">
            <v>3262</v>
          </cell>
          <cell r="H11">
            <v>3340</v>
          </cell>
        </row>
        <row r="12">
          <cell r="C12">
            <v>579</v>
          </cell>
          <cell r="D12">
            <v>454</v>
          </cell>
          <cell r="E12">
            <v>639</v>
          </cell>
          <cell r="F12">
            <v>-40</v>
          </cell>
          <cell r="G12">
            <v>476</v>
          </cell>
          <cell r="H12">
            <v>571</v>
          </cell>
          <cell r="I12">
            <v>0</v>
          </cell>
          <cell r="J12">
            <v>0</v>
          </cell>
          <cell r="K12">
            <v>0</v>
          </cell>
          <cell r="L12">
            <v>0</v>
          </cell>
        </row>
        <row r="13">
          <cell r="C13">
            <v>0.13878235858101631</v>
          </cell>
          <cell r="D13">
            <v>0.20053003533568906</v>
          </cell>
          <cell r="E13">
            <v>0.13461133347377291</v>
          </cell>
          <cell r="F13">
            <v>-1.0462987182840701E-2</v>
          </cell>
          <cell r="G13">
            <v>0.12734082397003746</v>
          </cell>
          <cell r="H13">
            <v>0.14599846586550755</v>
          </cell>
          <cell r="I13">
            <v>0</v>
          </cell>
          <cell r="J13">
            <v>0</v>
          </cell>
          <cell r="K13">
            <v>0</v>
          </cell>
          <cell r="L13">
            <v>0</v>
          </cell>
          <cell r="M13">
            <v>0</v>
          </cell>
        </row>
        <row r="16">
          <cell r="C16">
            <v>13776</v>
          </cell>
          <cell r="D16">
            <v>9037</v>
          </cell>
          <cell r="E16">
            <v>14887</v>
          </cell>
          <cell r="F16">
            <v>27634</v>
          </cell>
          <cell r="G16">
            <v>9753</v>
          </cell>
          <cell r="H16">
            <v>15627</v>
          </cell>
        </row>
        <row r="17">
          <cell r="C17">
            <v>14912</v>
          </cell>
          <cell r="D17">
            <v>10411</v>
          </cell>
          <cell r="E17">
            <v>17377</v>
          </cell>
          <cell r="F17">
            <v>33318</v>
          </cell>
          <cell r="G17">
            <v>10770</v>
          </cell>
          <cell r="H17">
            <v>15663</v>
          </cell>
        </row>
        <row r="18">
          <cell r="C18">
            <v>-1136</v>
          </cell>
          <cell r="D18">
            <v>-1374</v>
          </cell>
          <cell r="E18">
            <v>-2490</v>
          </cell>
          <cell r="F18">
            <v>-5684</v>
          </cell>
          <cell r="G18">
            <v>-1017</v>
          </cell>
          <cell r="H18">
            <v>-36</v>
          </cell>
          <cell r="I18">
            <v>0</v>
          </cell>
          <cell r="J18">
            <v>0</v>
          </cell>
          <cell r="K18">
            <v>0</v>
          </cell>
          <cell r="L18">
            <v>0</v>
          </cell>
          <cell r="M18">
            <v>0</v>
          </cell>
        </row>
        <row r="19">
          <cell r="C19">
            <v>-8.2462253193960514E-2</v>
          </cell>
          <cell r="D19">
            <v>-0.15204160672789643</v>
          </cell>
          <cell r="E19">
            <v>-0.16726002552562638</v>
          </cell>
          <cell r="F19">
            <v>-0.20568864442353621</v>
          </cell>
          <cell r="G19">
            <v>-0.10427560750538296</v>
          </cell>
          <cell r="H19">
            <v>-2.3037051257439049E-3</v>
          </cell>
          <cell r="I19">
            <v>0</v>
          </cell>
          <cell r="J19">
            <v>0</v>
          </cell>
          <cell r="K19">
            <v>0</v>
          </cell>
          <cell r="L19">
            <v>0</v>
          </cell>
          <cell r="M19">
            <v>0</v>
          </cell>
        </row>
        <row r="22">
          <cell r="C22">
            <v>172</v>
          </cell>
          <cell r="D22">
            <v>0</v>
          </cell>
          <cell r="E22">
            <v>97</v>
          </cell>
          <cell r="F22">
            <v>55</v>
          </cell>
          <cell r="G22">
            <v>17927</v>
          </cell>
          <cell r="H22">
            <v>32</v>
          </cell>
        </row>
        <row r="23">
          <cell r="C23">
            <v>414</v>
          </cell>
          <cell r="D23">
            <v>186</v>
          </cell>
          <cell r="E23">
            <v>95</v>
          </cell>
          <cell r="F23">
            <v>40</v>
          </cell>
          <cell r="G23">
            <v>15127</v>
          </cell>
          <cell r="H23">
            <v>26</v>
          </cell>
        </row>
        <row r="24">
          <cell r="C24">
            <v>-242</v>
          </cell>
          <cell r="D24">
            <v>-186</v>
          </cell>
          <cell r="E24">
            <v>2</v>
          </cell>
          <cell r="F24">
            <v>15</v>
          </cell>
          <cell r="G24">
            <v>2800</v>
          </cell>
          <cell r="H24">
            <v>6</v>
          </cell>
          <cell r="I24">
            <v>0</v>
          </cell>
          <cell r="J24">
            <v>0</v>
          </cell>
          <cell r="K24">
            <v>0</v>
          </cell>
          <cell r="L24">
            <v>0</v>
          </cell>
        </row>
        <row r="28">
          <cell r="C28">
            <v>18120</v>
          </cell>
          <cell r="D28">
            <v>11301</v>
          </cell>
          <cell r="E28">
            <v>19731</v>
          </cell>
          <cell r="F28">
            <v>31512</v>
          </cell>
          <cell r="G28">
            <v>31418</v>
          </cell>
          <cell r="H28">
            <v>19570</v>
          </cell>
          <cell r="I28">
            <v>0</v>
          </cell>
          <cell r="J28">
            <v>0</v>
          </cell>
          <cell r="K28">
            <v>0</v>
          </cell>
          <cell r="L28">
            <v>0</v>
          </cell>
        </row>
        <row r="29">
          <cell r="C29">
            <v>18919</v>
          </cell>
          <cell r="D29">
            <v>12407</v>
          </cell>
          <cell r="E29">
            <v>21580</v>
          </cell>
          <cell r="F29">
            <v>37221</v>
          </cell>
          <cell r="G29">
            <v>29159</v>
          </cell>
          <cell r="H29">
            <v>19029</v>
          </cell>
          <cell r="I29">
            <v>0</v>
          </cell>
          <cell r="J29">
            <v>0</v>
          </cell>
          <cell r="K29">
            <v>0</v>
          </cell>
          <cell r="L29">
            <v>0</v>
          </cell>
        </row>
        <row r="30">
          <cell r="C30">
            <v>-799</v>
          </cell>
          <cell r="D30">
            <v>-1106</v>
          </cell>
          <cell r="E30">
            <v>-1849</v>
          </cell>
          <cell r="F30">
            <v>-5709</v>
          </cell>
          <cell r="G30">
            <v>2259</v>
          </cell>
          <cell r="H30">
            <v>541</v>
          </cell>
          <cell r="I30">
            <v>0</v>
          </cell>
          <cell r="J30">
            <v>0</v>
          </cell>
          <cell r="K30">
            <v>0</v>
          </cell>
          <cell r="L30">
            <v>0</v>
          </cell>
        </row>
        <row r="31">
          <cell r="C31">
            <v>-4.4094922737306842E-2</v>
          </cell>
          <cell r="D31">
            <v>-9.7867445358817806E-2</v>
          </cell>
          <cell r="E31">
            <v>-9.3710404946530837E-2</v>
          </cell>
          <cell r="F31">
            <v>-0.18116907844630617</v>
          </cell>
          <cell r="G31">
            <v>7.1901457763065765E-2</v>
          </cell>
          <cell r="H31">
            <v>2.7644353602452734E-2</v>
          </cell>
          <cell r="I31">
            <v>0</v>
          </cell>
          <cell r="J31">
            <v>0</v>
          </cell>
          <cell r="K31">
            <v>0</v>
          </cell>
          <cell r="L31">
            <v>0</v>
          </cell>
          <cell r="M31">
            <v>0</v>
          </cell>
        </row>
        <row r="37">
          <cell r="B37" t="str">
            <v>PYTD</v>
          </cell>
          <cell r="C37" t="str">
            <v>Jan</v>
          </cell>
          <cell r="D37" t="str">
            <v>Feb</v>
          </cell>
          <cell r="E37" t="str">
            <v>Mar</v>
          </cell>
          <cell r="F37" t="str">
            <v>Apr</v>
          </cell>
          <cell r="G37" t="str">
            <v>May</v>
          </cell>
        </row>
        <row r="38">
          <cell r="B38">
            <v>90721</v>
          </cell>
          <cell r="C38">
            <v>6561</v>
          </cell>
          <cell r="D38">
            <v>6032</v>
          </cell>
          <cell r="E38">
            <v>10322</v>
          </cell>
          <cell r="F38">
            <v>12323</v>
          </cell>
          <cell r="G38">
            <v>2807</v>
          </cell>
        </row>
        <row r="39">
          <cell r="B39">
            <v>114920</v>
          </cell>
          <cell r="C39">
            <v>7828</v>
          </cell>
          <cell r="D39">
            <v>7602</v>
          </cell>
          <cell r="E39">
            <v>13088</v>
          </cell>
          <cell r="F39">
            <v>16260</v>
          </cell>
          <cell r="G39">
            <v>4424</v>
          </cell>
        </row>
        <row r="40">
          <cell r="B40">
            <v>-24199</v>
          </cell>
          <cell r="C40">
            <v>-1267</v>
          </cell>
          <cell r="D40">
            <v>-1570</v>
          </cell>
          <cell r="E40">
            <v>-2766</v>
          </cell>
          <cell r="F40">
            <v>-3937</v>
          </cell>
          <cell r="G40">
            <v>-1617</v>
          </cell>
        </row>
        <row r="41">
          <cell r="C41">
            <v>-0.19311080627953056</v>
          </cell>
          <cell r="D41">
            <v>-0.26027851458885942</v>
          </cell>
          <cell r="E41">
            <v>-0.26797132338694052</v>
          </cell>
          <cell r="F41">
            <v>-0.31948389190943766</v>
          </cell>
          <cell r="G41">
            <v>-0.57605985037406482</v>
          </cell>
          <cell r="H41">
            <v>-0.19908033540708683</v>
          </cell>
          <cell r="I41">
            <v>0</v>
          </cell>
          <cell r="J41">
            <v>0</v>
          </cell>
          <cell r="K41">
            <v>0</v>
          </cell>
          <cell r="L41">
            <v>0</v>
          </cell>
          <cell r="M41">
            <v>0</v>
          </cell>
        </row>
        <row r="45">
          <cell r="C45">
            <v>18120</v>
          </cell>
          <cell r="D45">
            <v>29421</v>
          </cell>
          <cell r="E45">
            <v>49152</v>
          </cell>
          <cell r="F45">
            <v>80664</v>
          </cell>
          <cell r="G45">
            <v>112082</v>
          </cell>
        </row>
        <row r="46">
          <cell r="C46">
            <v>18919</v>
          </cell>
          <cell r="D46">
            <v>31326</v>
          </cell>
          <cell r="E46">
            <v>52906</v>
          </cell>
          <cell r="F46">
            <v>90127</v>
          </cell>
          <cell r="G46">
            <v>119286</v>
          </cell>
        </row>
        <row r="47">
          <cell r="C47">
            <v>-799</v>
          </cell>
          <cell r="D47">
            <v>-1905</v>
          </cell>
          <cell r="E47">
            <v>-3754</v>
          </cell>
          <cell r="F47">
            <v>-9463</v>
          </cell>
          <cell r="G47">
            <v>-7204</v>
          </cell>
        </row>
        <row r="59">
          <cell r="A59" t="str">
            <v>Jan</v>
          </cell>
          <cell r="G59">
            <v>0.13878235858101631</v>
          </cell>
          <cell r="H59">
            <v>-8.2462253193960514E-2</v>
          </cell>
          <cell r="I59">
            <v>-0.19311080627953056</v>
          </cell>
          <cell r="J59">
            <v>-1.4069767441860466</v>
          </cell>
          <cell r="K59">
            <v>-4.4094922737306842E-2</v>
          </cell>
        </row>
        <row r="60">
          <cell r="A60" t="str">
            <v>Feb</v>
          </cell>
          <cell r="G60">
            <v>0.16050341827221876</v>
          </cell>
          <cell r="H60">
            <v>-0.1100249857537369</v>
          </cell>
          <cell r="I60">
            <v>-0.22528388787421583</v>
          </cell>
          <cell r="J60">
            <v>-2.4883720930232558</v>
          </cell>
          <cell r="K60">
            <v>-6.4749668604058327E-2</v>
          </cell>
        </row>
        <row r="61">
          <cell r="A61" t="str">
            <v>Mar</v>
          </cell>
          <cell r="G61">
            <v>0.14951265313422157</v>
          </cell>
          <cell r="H61">
            <v>-0.13262599469496023</v>
          </cell>
          <cell r="I61">
            <v>-0.24451232816932142</v>
          </cell>
          <cell r="J61">
            <v>-1.5836431226765799</v>
          </cell>
          <cell r="K61">
            <v>-7.6375325520833329E-2</v>
          </cell>
        </row>
        <row r="62">
          <cell r="A62" t="str">
            <v>Apr</v>
          </cell>
          <cell r="G62">
            <v>0.10875649740103958</v>
          </cell>
          <cell r="H62">
            <v>-0.16352894358220835</v>
          </cell>
          <cell r="I62">
            <v>-0.27073046143367957</v>
          </cell>
          <cell r="J62">
            <v>-1.2685185185185186</v>
          </cell>
          <cell r="K62">
            <v>-0.11731379549737181</v>
          </cell>
        </row>
        <row r="63">
          <cell r="A63" t="str">
            <v>May</v>
          </cell>
          <cell r="G63">
            <v>0.11246265471617584</v>
          </cell>
          <cell r="H63">
            <v>-0.15583256755496958</v>
          </cell>
          <cell r="I63">
            <v>-0.29325798396635561</v>
          </cell>
          <cell r="J63">
            <v>0.13089693715412853</v>
          </cell>
          <cell r="K63">
            <v>-6.4274370550132937E-2</v>
          </cell>
        </row>
        <row r="64">
          <cell r="A64" t="str">
            <v>Jun</v>
          </cell>
          <cell r="G64">
            <v>0.11825204149194438</v>
          </cell>
          <cell r="H64">
            <v>-0.12938465947924246</v>
          </cell>
          <cell r="I64">
            <v>-0.27793305310416161</v>
          </cell>
          <cell r="J64">
            <v>6.6200453314168836E-2</v>
          </cell>
          <cell r="K64">
            <v>-5.0610700938838758E-2</v>
          </cell>
        </row>
        <row r="65">
          <cell r="A65" t="str">
            <v>Jul</v>
          </cell>
          <cell r="G65">
            <v>0.11825204149194438</v>
          </cell>
          <cell r="H65">
            <v>-0.12938465947924246</v>
          </cell>
          <cell r="I65">
            <v>-0.27793305310416161</v>
          </cell>
          <cell r="J65">
            <v>0.13099600721982169</v>
          </cell>
          <cell r="K65">
            <v>-5.0610700938838758E-2</v>
          </cell>
        </row>
        <row r="66">
          <cell r="A66" t="str">
            <v>Aug</v>
          </cell>
        </row>
        <row r="67">
          <cell r="A67" t="str">
            <v>Sep</v>
          </cell>
        </row>
        <row r="68">
          <cell r="A68" t="str">
            <v>Oct</v>
          </cell>
        </row>
        <row r="69">
          <cell r="A69" t="str">
            <v>Nov</v>
          </cell>
        </row>
        <row r="70">
          <cell r="A70" t="str">
            <v>Dec</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sheetName val="Plan Sum"/>
      <sheetName val="2007 Sum"/>
      <sheetName val="Sum by Co"/>
      <sheetName val="Plan Sum "/>
      <sheetName val="Plan P&amp;L"/>
      <sheetName val="GM Bridge"/>
      <sheetName val="Regional Sales"/>
      <sheetName val="Unit Hist "/>
      <sheetName val="Sales"/>
      <sheetName val="Bookings"/>
      <sheetName val="AM Sales"/>
      <sheetName val="Segment P&amp;L"/>
      <sheetName val="GM Sum"/>
      <sheetName val="AM GM"/>
      <sheetName val="VAR"/>
      <sheetName val="SG&amp;A"/>
      <sheetName val="SG&amp;A (2)"/>
      <sheetName val="NPD"/>
      <sheetName val="SG&amp;A Invest"/>
      <sheetName val="Other"/>
      <sheetName val="OH"/>
      <sheetName val="Invest"/>
      <sheetName val="Cost red"/>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TtmX"/>
    </sheetNames>
    <sheetDataSet>
      <sheetData sheetId="0">
        <row r="30">
          <cell r="C30">
            <v>585</v>
          </cell>
          <cell r="E30" t="str">
            <v>D-98</v>
          </cell>
        </row>
        <row r="31">
          <cell r="C31">
            <v>561</v>
          </cell>
          <cell r="E31" t="str">
            <v>J-99</v>
          </cell>
        </row>
        <row r="32">
          <cell r="C32">
            <v>484</v>
          </cell>
          <cell r="E32" t="str">
            <v>F-99</v>
          </cell>
        </row>
        <row r="33">
          <cell r="C33">
            <v>528</v>
          </cell>
          <cell r="E33" t="str">
            <v>M-99</v>
          </cell>
        </row>
        <row r="34">
          <cell r="C34">
            <v>572</v>
          </cell>
          <cell r="E34" t="str">
            <v>A-99</v>
          </cell>
        </row>
        <row r="35">
          <cell r="C35">
            <v>506</v>
          </cell>
          <cell r="E35" t="str">
            <v>M-99</v>
          </cell>
        </row>
        <row r="36">
          <cell r="C36">
            <v>660</v>
          </cell>
          <cell r="E36" t="str">
            <v>J-99</v>
          </cell>
        </row>
        <row r="37">
          <cell r="C37">
            <v>567</v>
          </cell>
          <cell r="E37" t="str">
            <v>J-99</v>
          </cell>
        </row>
        <row r="38">
          <cell r="C38">
            <v>729</v>
          </cell>
          <cell r="E38" t="str">
            <v>A-99</v>
          </cell>
        </row>
        <row r="39">
          <cell r="C39">
            <v>817</v>
          </cell>
          <cell r="E39" t="str">
            <v>S-99</v>
          </cell>
        </row>
        <row r="40">
          <cell r="C40">
            <v>805</v>
          </cell>
          <cell r="E40" t="str">
            <v>O-99</v>
          </cell>
        </row>
        <row r="41">
          <cell r="C41">
            <v>753</v>
          </cell>
          <cell r="E41" t="str">
            <v>N-99</v>
          </cell>
        </row>
        <row r="42">
          <cell r="C42">
            <v>668</v>
          </cell>
          <cell r="E42" t="str">
            <v>D-99</v>
          </cell>
        </row>
        <row r="43">
          <cell r="C43">
            <v>550</v>
          </cell>
          <cell r="E43" t="str">
            <v>J-00</v>
          </cell>
        </row>
        <row r="44">
          <cell r="C44">
            <v>528</v>
          </cell>
          <cell r="E44" t="str">
            <v>F-00</v>
          </cell>
        </row>
        <row r="45">
          <cell r="C45">
            <v>592</v>
          </cell>
          <cell r="E45" t="str">
            <v>M-00</v>
          </cell>
        </row>
        <row r="46">
          <cell r="C46">
            <v>647</v>
          </cell>
          <cell r="E46" t="str">
            <v>A-00</v>
          </cell>
        </row>
        <row r="47">
          <cell r="C47">
            <v>588</v>
          </cell>
          <cell r="E47" t="str">
            <v>M-00</v>
          </cell>
        </row>
        <row r="48">
          <cell r="C48">
            <v>772</v>
          </cell>
          <cell r="E48" t="str">
            <v>J-00</v>
          </cell>
        </row>
        <row r="49">
          <cell r="C49">
            <v>684</v>
          </cell>
          <cell r="E49" t="str">
            <v>J-00</v>
          </cell>
        </row>
        <row r="50">
          <cell r="C50">
            <v>844</v>
          </cell>
          <cell r="E50" t="str">
            <v>A-00</v>
          </cell>
        </row>
        <row r="51">
          <cell r="C51">
            <v>828.08</v>
          </cell>
          <cell r="E51" t="str">
            <v>S-00</v>
          </cell>
        </row>
        <row r="52">
          <cell r="C52">
            <v>765.26</v>
          </cell>
          <cell r="E52" t="str">
            <v>O-00</v>
          </cell>
        </row>
        <row r="53">
          <cell r="C53">
            <v>722.09999999999991</v>
          </cell>
          <cell r="E53" t="str">
            <v>N-00</v>
          </cell>
        </row>
        <row r="54">
          <cell r="C54">
            <v>630</v>
          </cell>
          <cell r="E54" t="str">
            <v>D-00</v>
          </cell>
        </row>
        <row r="55">
          <cell r="C55">
            <v>525</v>
          </cell>
          <cell r="E55" t="str">
            <v>J-00</v>
          </cell>
        </row>
        <row r="56">
          <cell r="C56">
            <v>520</v>
          </cell>
          <cell r="E56" t="str">
            <v>F-01</v>
          </cell>
        </row>
        <row r="57">
          <cell r="C57">
            <v>610</v>
          </cell>
          <cell r="E57" t="str">
            <v>M-01</v>
          </cell>
        </row>
        <row r="58">
          <cell r="C58">
            <v>689</v>
          </cell>
          <cell r="E58" t="str">
            <v>A-01</v>
          </cell>
        </row>
        <row r="59">
          <cell r="C59">
            <v>648</v>
          </cell>
          <cell r="E59" t="str">
            <v>M-01</v>
          </cell>
        </row>
        <row r="60">
          <cell r="C60">
            <v>853</v>
          </cell>
          <cell r="E60" t="str">
            <v>J-01</v>
          </cell>
        </row>
        <row r="61">
          <cell r="C61">
            <v>765</v>
          </cell>
          <cell r="E61" t="str">
            <v>J-01</v>
          </cell>
        </row>
        <row r="62">
          <cell r="C62">
            <v>968</v>
          </cell>
          <cell r="E62" t="str">
            <v>A-01</v>
          </cell>
        </row>
        <row r="63">
          <cell r="C63">
            <v>945</v>
          </cell>
          <cell r="E63" t="str">
            <v>S-01</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MAI Cover"/>
      <sheetName val="MAI Plan Sum "/>
      <sheetName val="2005 P Sum"/>
      <sheetName val="2004 Sum"/>
      <sheetName val="MAI Plan P&amp;L"/>
      <sheetName val="MAIsg&amp;a"/>
      <sheetName val="2005 by Co"/>
      <sheetName val="Regional Sales"/>
      <sheetName val="Chart"/>
      <sheetName val="NPD"/>
      <sheetName val="2004 By Co"/>
      <sheetName val="GM Sum"/>
      <sheetName val="STL GM Rec"/>
      <sheetName val="MAI Bookings"/>
      <sheetName val="MAI Sales"/>
      <sheetName val="MAI Plan other"/>
      <sheetName val="Working Capital"/>
      <sheetName val="ROS"/>
      <sheetName val="2004 vs 2003"/>
      <sheetName val="Plan vs 2004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13"/>
    </sheetNames>
    <sheetDataSet>
      <sheetData sheetId="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alesbyCust"/>
      <sheetName val="Sales &amp; Income History "/>
      <sheetName val="Consolidated P&amp;L"/>
      <sheetName val="Consolidated BS &amp; CF"/>
      <sheetName val="GRAPH_CORP"/>
      <sheetName val="GP Reconcil"/>
      <sheetName val="Productivity"/>
      <sheetName val="CapitalExp"/>
    </sheetNames>
    <sheetDataSet>
      <sheetData sheetId="0"/>
      <sheetData sheetId="1"/>
      <sheetData sheetId="2"/>
      <sheetData sheetId="3"/>
      <sheetData sheetId="4"/>
      <sheetData sheetId="5"/>
      <sheetData sheetId="6"/>
      <sheetData sheetId="7">
        <row r="26">
          <cell r="E26" t="str">
            <v>Approvals</v>
          </cell>
        </row>
        <row r="27">
          <cell r="D27" t="str">
            <v>Budget</v>
          </cell>
          <cell r="H27" t="str">
            <v>Spending</v>
          </cell>
        </row>
        <row r="34">
          <cell r="G34">
            <v>927811.66</v>
          </cell>
          <cell r="H34">
            <v>804286</v>
          </cell>
        </row>
        <row r="36">
          <cell r="D36">
            <v>2142000</v>
          </cell>
        </row>
      </sheetData>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Example"/>
      <sheetName val="MAI Plan Sum "/>
      <sheetName val="MAI Plan P&amp;L"/>
      <sheetName val="MAIsg&amp;a"/>
      <sheetName val="MAI by Co"/>
      <sheetName val="2004 by Co"/>
      <sheetName val="2003 By Co"/>
      <sheetName val="MAI Bookings"/>
      <sheetName val="MAI Sales"/>
      <sheetName val="MAI Plan other"/>
      <sheetName val="Working Capital"/>
      <sheetName val="Plan vs 2003"/>
      <sheetName val="2003 vs 2002"/>
      <sheetName val="Book"/>
      <sheetName val="Shi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Log"/>
      <sheetName val="Report"/>
      <sheetName val="Distribution"/>
      <sheetName val="1"/>
      <sheetName val="2"/>
      <sheetName val="3"/>
      <sheetName val="Qtr1"/>
      <sheetName val="4"/>
      <sheetName val="5"/>
      <sheetName val="6"/>
      <sheetName val="Qtr2"/>
      <sheetName val="7"/>
      <sheetName val="8"/>
      <sheetName val="9"/>
      <sheetName val="Qtr3"/>
      <sheetName val="10"/>
      <sheetName val="11"/>
      <sheetName val="12"/>
      <sheetName val="13"/>
      <sheetName val="Qtr4"/>
    </sheetNames>
    <sheetDataSet>
      <sheetData sheetId="0" refreshError="1">
        <row r="18">
          <cell r="A18" t="str">
            <v>Board</v>
          </cell>
        </row>
        <row r="19">
          <cell r="B19" t="str">
            <v>Razor Project Tooling</v>
          </cell>
          <cell r="D19">
            <v>11</v>
          </cell>
          <cell r="E19">
            <v>45000</v>
          </cell>
          <cell r="F19">
            <v>14498.063525</v>
          </cell>
          <cell r="G19" t="str">
            <v>S2590</v>
          </cell>
        </row>
        <row r="20">
          <cell r="B20" t="str">
            <v>IBM Frame Cell</v>
          </cell>
          <cell r="D20">
            <v>11</v>
          </cell>
          <cell r="E20">
            <v>21654.858182</v>
          </cell>
          <cell r="F20">
            <v>500.94626999999997</v>
          </cell>
          <cell r="G20" t="str">
            <v>S2960</v>
          </cell>
        </row>
        <row r="21">
          <cell r="B21" t="str">
            <v>Paint Line-IBM</v>
          </cell>
          <cell r="D21">
            <v>11</v>
          </cell>
          <cell r="E21">
            <v>22933.821085000003</v>
          </cell>
          <cell r="F21">
            <v>0</v>
          </cell>
          <cell r="G21" t="str">
            <v>S2970</v>
          </cell>
        </row>
        <row r="22">
          <cell r="B22" t="str">
            <v>LVD Safety Curtains</v>
          </cell>
          <cell r="D22">
            <v>11</v>
          </cell>
          <cell r="E22">
            <v>14000</v>
          </cell>
          <cell r="F22">
            <v>7205.6008199999997</v>
          </cell>
          <cell r="G22" t="str">
            <v>S3010</v>
          </cell>
        </row>
        <row r="23">
          <cell r="B23" t="str">
            <v>RCOC Relay Fixture</v>
          </cell>
          <cell r="D23">
            <v>4</v>
          </cell>
          <cell r="E23">
            <v>2200</v>
          </cell>
          <cell r="G23" t="str">
            <v>S3210</v>
          </cell>
        </row>
        <row r="24">
          <cell r="B24" t="str">
            <v>Dry Capacitor Switch</v>
          </cell>
          <cell r="D24">
            <v>4</v>
          </cell>
          <cell r="E24">
            <v>30000</v>
          </cell>
          <cell r="G24" t="str">
            <v>S3220</v>
          </cell>
          <cell r="I24">
            <v>30000</v>
          </cell>
        </row>
        <row r="25">
          <cell r="B25" t="str">
            <v>Capacitor Control Emulator Replacement</v>
          </cell>
          <cell r="D25">
            <v>4</v>
          </cell>
          <cell r="E25">
            <v>1320</v>
          </cell>
          <cell r="G25" t="str">
            <v>S3230</v>
          </cell>
        </row>
        <row r="26">
          <cell r="B26" t="str">
            <v>Movable Ultrasonic Washer</v>
          </cell>
          <cell r="D26">
            <v>3</v>
          </cell>
          <cell r="E26">
            <v>113540</v>
          </cell>
          <cell r="F26">
            <v>57672</v>
          </cell>
          <cell r="G26" t="str">
            <v>S2270</v>
          </cell>
        </row>
        <row r="27">
          <cell r="B27" t="str">
            <v>Projection Welder Rebuild</v>
          </cell>
          <cell r="D27">
            <v>3</v>
          </cell>
          <cell r="E27">
            <v>19082</v>
          </cell>
          <cell r="G27" t="str">
            <v>S3240</v>
          </cell>
        </row>
        <row r="28">
          <cell r="B28" t="str">
            <v>Fire Alarm System Replacement</v>
          </cell>
          <cell r="D28">
            <v>3</v>
          </cell>
          <cell r="E28">
            <v>24453</v>
          </cell>
          <cell r="G28" t="str">
            <v>S3250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Cover"/>
      <sheetName val="1"/>
      <sheetName val="2"/>
      <sheetName val="3"/>
      <sheetName val="4"/>
      <sheetName val="5"/>
      <sheetName val="6"/>
      <sheetName val="7"/>
      <sheetName val="8"/>
      <sheetName val="9"/>
      <sheetName val="10"/>
      <sheetName val="11"/>
      <sheetName val="12"/>
      <sheetName val="13"/>
      <sheetName val="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Business Diligence Request List"/>
      <sheetName val="Contract Waterfall"/>
      <sheetName val="CapEx Waterfall"/>
      <sheetName val="Drivers"/>
      <sheetName val="Consolidated P&amp;L"/>
      <sheetName val="Company Source Data&gt;"/>
      <sheetName val="P&amp;L - 2019B"/>
      <sheetName val="P&amp;L - 2018A"/>
      <sheetName val="Transport By Type"/>
    </sheetNames>
    <sheetDataSet>
      <sheetData sheetId="0"/>
      <sheetData sheetId="1"/>
      <sheetData sheetId="2"/>
      <sheetData sheetId="3">
        <row r="5">
          <cell r="E5">
            <v>1E-3</v>
          </cell>
        </row>
      </sheetData>
      <sheetData sheetId="4"/>
      <sheetData sheetId="5"/>
      <sheetData sheetId="6"/>
      <sheetData sheetId="7"/>
      <sheetData sheetId="8"/>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Cover"/>
      <sheetName val="Tax Requests"/>
      <sheetName val="Lists"/>
    </sheetNames>
    <sheetDataSet>
      <sheetData sheetId="0">
        <row r="12">
          <cell r="B12" t="str">
            <v>Project MedFleet Due Diligence Request List</v>
          </cell>
        </row>
      </sheetData>
      <sheetData sheetId="1"/>
      <sheetData sheetId="2">
        <row r="4">
          <cell r="B4" t="str">
            <v>MedFleet, Inc.</v>
          </cell>
        </row>
        <row r="14">
          <cell r="B14" t="str">
            <v>Financial Accounting</v>
          </cell>
        </row>
        <row r="15">
          <cell r="B15" t="str">
            <v>Tax Due Diligence</v>
          </cell>
        </row>
        <row r="16">
          <cell r="B16" t="str">
            <v>Tax Federal</v>
          </cell>
        </row>
        <row r="17">
          <cell r="B17" t="str">
            <v>Tax State</v>
          </cell>
        </row>
        <row r="18">
          <cell r="B18" t="str">
            <v>Information Technology</v>
          </cell>
        </row>
        <row r="19">
          <cell r="B19" t="str">
            <v>Operational Due Diligence</v>
          </cell>
        </row>
        <row r="20">
          <cell r="B20" t="str">
            <v>Legal</v>
          </cell>
        </row>
        <row r="21">
          <cell r="B21" t="str">
            <v>[INSERT ADDITIONS TO CATEGORY LIST ABOVE THIS LINE]</v>
          </cell>
        </row>
        <row r="25">
          <cell r="B25" t="str">
            <v>Low</v>
          </cell>
        </row>
        <row r="26">
          <cell r="B26" t="str">
            <v>Medium</v>
          </cell>
        </row>
        <row r="27">
          <cell r="B27" t="str">
            <v>High</v>
          </cell>
        </row>
        <row r="31">
          <cell r="B31" t="str">
            <v>Open</v>
          </cell>
        </row>
        <row r="32">
          <cell r="B32" t="str">
            <v>Closed</v>
          </cell>
        </row>
        <row r="33">
          <cell r="B33" t="str">
            <v>Revised</v>
          </cell>
        </row>
        <row r="37">
          <cell r="B37" t="str">
            <v>General</v>
          </cell>
        </row>
        <row r="38">
          <cell r="B38" t="str">
            <v>Revenue</v>
          </cell>
        </row>
        <row r="39">
          <cell r="B39" t="str">
            <v>Cost of Goods Sold</v>
          </cell>
        </row>
        <row r="40">
          <cell r="B40" t="str">
            <v>Operating Expenses</v>
          </cell>
        </row>
        <row r="41">
          <cell r="B41" t="str">
            <v>Other Income / Expense</v>
          </cell>
        </row>
        <row r="42">
          <cell r="B42" t="str">
            <v>Cash</v>
          </cell>
        </row>
        <row r="43">
          <cell r="B43" t="str">
            <v>Accounts Receivable</v>
          </cell>
        </row>
        <row r="44">
          <cell r="B44" t="str">
            <v>Prepaid Expenses</v>
          </cell>
        </row>
        <row r="45">
          <cell r="B45" t="str">
            <v>Inventory</v>
          </cell>
        </row>
        <row r="46">
          <cell r="B46" t="str">
            <v>PP&amp;E</v>
          </cell>
        </row>
        <row r="47">
          <cell r="B47" t="str">
            <v>Other Assets</v>
          </cell>
        </row>
        <row r="48">
          <cell r="B48" t="str">
            <v>Accounts Payable</v>
          </cell>
        </row>
        <row r="49">
          <cell r="B49" t="str">
            <v>Accrued Expenses</v>
          </cell>
        </row>
        <row r="50">
          <cell r="B50" t="str">
            <v>Other Liabilities</v>
          </cell>
        </row>
        <row r="51">
          <cell r="B51" t="str">
            <v>Post LOI</v>
          </cell>
        </row>
        <row r="52">
          <cell r="B52" t="str">
            <v>U.S. Federal Income Tax</v>
          </cell>
        </row>
        <row r="53">
          <cell r="B53" t="str">
            <v>International Tax</v>
          </cell>
        </row>
        <row r="54">
          <cell r="B54" t="str">
            <v xml:space="preserve">State Income / Franchise </v>
          </cell>
        </row>
        <row r="55">
          <cell r="B55" t="str">
            <v>Sales and Use Tax</v>
          </cell>
        </row>
        <row r="56">
          <cell r="B56" t="str">
            <v>Payroll Tax</v>
          </cell>
        </row>
        <row r="57">
          <cell r="B57" t="str">
            <v>Property Tax</v>
          </cell>
        </row>
        <row r="58">
          <cell r="B58" t="str">
            <v>Unclaimed Property</v>
          </cell>
        </row>
        <row r="59">
          <cell r="B59" t="str">
            <v xml:space="preserve">Transfer Tax </v>
          </cell>
        </row>
        <row r="60">
          <cell r="B60" t="str">
            <v>Executive Compensation</v>
          </cell>
        </row>
        <row r="61">
          <cell r="B61" t="str">
            <v>Equity Compensation</v>
          </cell>
        </row>
        <row r="62">
          <cell r="B62" t="str">
            <v>Benefit Plans</v>
          </cell>
        </row>
        <row r="63">
          <cell r="B63" t="str">
            <v>[INSERT ADDITIONS TO SUBCATEGORY LIST ABOVE THIS LINE]</v>
          </cell>
        </row>
        <row r="66">
          <cell r="B66" t="str">
            <v>Alvarez &amp; Marsal</v>
          </cell>
        </row>
        <row r="67">
          <cell r="B67" t="str">
            <v>[INSERT ADDITIONS TO REQUESTOR LIST ABOVE THIS LINE]</v>
          </cell>
        </row>
      </sheetData>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LBO"/>
      <sheetName val="Payout Analysis"/>
      <sheetName val="Lender Model&gt;&gt;&gt;"/>
      <sheetName val="Monthly Lender Model"/>
      <sheetName val="Lender Model"/>
      <sheetName val="Seasonality Analysis"/>
      <sheetName val="Outputs&gt;&gt;&gt;"/>
      <sheetName val="RPL - A&amp;M Analysis (2)"/>
      <sheetName val="Valuation Considerations"/>
      <sheetName val="Output P&amp;L - Base"/>
      <sheetName val="Output S&amp;U"/>
      <sheetName val="Output P&amp;L - Lender(New)"/>
      <sheetName val="Output P&amp;L - Mgmt."/>
      <sheetName val="Output P&amp;L - Down (2)"/>
      <sheetName val="Output P&amp;L w Acq RFP - Base"/>
      <sheetName val="Output P&amp;L w Acq RFP - Mgmt."/>
      <sheetName val="Contract Analysis"/>
      <sheetName val="Contract Output Charts"/>
      <sheetName val="Contract Waterfall"/>
      <sheetName val="McCarthy Chart"/>
      <sheetName val="Consolidated P&amp;L"/>
      <sheetName val="Combining P&amp;Ls - AMCP"/>
      <sheetName val="RPL3a - PP FL"/>
      <sheetName val="RPL3b - PP IN"/>
      <sheetName val="RPL3c - PP SD"/>
      <sheetName val="RPL2c - Waco"/>
      <sheetName val="RPL2d - Wylie"/>
      <sheetName val="RPL3d - PP CA"/>
      <sheetName val="RPL4 - FP"/>
      <sheetName val="RPL3g - ETX Mgmt Budget"/>
      <sheetName val="RPL3e - PP Corp"/>
      <sheetName val="RPL3f - Corp Budget v1"/>
      <sheetName val="Acquisitions"/>
      <sheetName val="RFPs"/>
      <sheetName val="Detailed Expenses"/>
      <sheetName val="NWC Drivers By Contract"/>
      <sheetName val="EBITDA Waterfall"/>
      <sheetName val="AMCP Comparison"/>
      <sheetName val="Combined BS"/>
      <sheetName val="EBITDA Waterful - EXTERNAL"/>
      <sheetName val="RFP Pipeline"/>
      <sheetName val="Incremtnal HR Costs (PEPI)"/>
      <sheetName val="School of EMS Drivers&gt;&gt;&gt;"/>
      <sheetName val="School of EMS From Company"/>
      <sheetName val="Summary"/>
      <sheetName val="Medic"/>
      <sheetName val="EMT"/>
      <sheetName val="CapEx Projections&gt;&gt;&gt;"/>
      <sheetName val="CapEx Summary From Company"/>
      <sheetName val="Sum"/>
      <sheetName val="CA"/>
      <sheetName val="IN"/>
      <sheetName val="Wylie"/>
      <sheetName val="FL"/>
      <sheetName val="SD"/>
      <sheetName val="Corp."/>
      <sheetName val="One Time Costs"/>
      <sheetName val="Sum (2)"/>
      <sheetName val="Fleet Value By Contract"/>
      <sheetName val="Graveyard&gt;&gt;"/>
      <sheetName val="PL6 - Headcount"/>
      <sheetName val="Output P&amp;L - Upside"/>
      <sheetName val="Output P&amp;L - Base &amp; Downside"/>
      <sheetName val="Output P&amp;L - Lender Case"/>
      <sheetName val="Transaction Comps"/>
      <sheetName val="Valuation Tab"/>
      <sheetName val="Gina AR Aging"/>
    </sheetNames>
    <sheetDataSet>
      <sheetData sheetId="0">
        <row r="1">
          <cell r="A1" t="str">
            <v>Paramedics Plus - LBO Analysis</v>
          </cell>
        </row>
        <row r="133">
          <cell r="AB133">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3">
          <cell r="B3" t="str">
            <v xml:space="preserve">CONSOLIDATED P&amp;L: </v>
          </cell>
        </row>
      </sheetData>
      <sheetData sheetId="21" refreshError="1"/>
      <sheetData sheetId="22">
        <row r="15">
          <cell r="AW15">
            <v>1186.3321100000003</v>
          </cell>
        </row>
      </sheetData>
      <sheetData sheetId="23">
        <row r="15">
          <cell r="AW15">
            <v>23.227999999999994</v>
          </cell>
        </row>
      </sheetData>
      <sheetData sheetId="24">
        <row r="15">
          <cell r="AW15">
            <v>323.80651999999998</v>
          </cell>
        </row>
      </sheetData>
      <sheetData sheetId="25">
        <row r="15">
          <cell r="AW15">
            <v>154.54581999999999</v>
          </cell>
        </row>
      </sheetData>
      <sheetData sheetId="26">
        <row r="15">
          <cell r="AW15">
            <v>205.00000000000003</v>
          </cell>
        </row>
      </sheetData>
      <sheetData sheetId="27">
        <row r="15">
          <cell r="AW15">
            <v>1544.1469099999999</v>
          </cell>
        </row>
      </sheetData>
      <sheetData sheetId="28">
        <row r="40">
          <cell r="AW40">
            <v>-389.99019999999973</v>
          </cell>
        </row>
      </sheetData>
      <sheetData sheetId="29">
        <row r="15">
          <cell r="AW15">
            <v>742.70238283992853</v>
          </cell>
        </row>
      </sheetData>
      <sheetData sheetId="30">
        <row r="15">
          <cell r="AW15">
            <v>196.30052000000001</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Book4"/>
      <sheetName val="Sheet3"/>
    </sheetNames>
    <definedNames>
      <definedName name="DateRangePriceMain"/>
      <definedName name="Full_Print"/>
      <definedName name="Last_Row"/>
      <definedName name="PriceRangeMain"/>
    </definedNames>
    <sheetDataSet>
      <sheetData sheetId="0" refreshError="1"/>
      <sheetData sheetId="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CREDIT STATS"/>
    </sheetNames>
    <sheetDataSet>
      <sheetData sheetId="0"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Sheet1"/>
      <sheetName val="LBO"/>
      <sheetName val="Output P&amp;L"/>
      <sheetName val="Lender Model"/>
      <sheetName val="Seller Payout Analysis"/>
      <sheetName val="Output S&amp;U"/>
      <sheetName val="Output P&amp;L - Upside"/>
      <sheetName val="Output P&amp;L - Base &amp; Downside"/>
      <sheetName val="Output P&amp;L w Acq RFP"/>
      <sheetName val="Contract Analysis"/>
      <sheetName val="Consolidated P&amp;L"/>
      <sheetName val="Combining P&amp;Ls - AMCP"/>
      <sheetName val="RPL3a - PP FL"/>
      <sheetName val="RPL3g - ETX Mgmt Budget"/>
      <sheetName val="RPL3b - PP IN"/>
      <sheetName val="RPL3c - PP SD"/>
      <sheetName val="RPL2c - Waco"/>
      <sheetName val="RPL2d - Wylie"/>
      <sheetName val="RPL3d - PP CA"/>
      <sheetName val="RPL4 - FP"/>
      <sheetName val="RPL3f - Corp Budget v1"/>
      <sheetName val="RPL3e - PP Corp"/>
      <sheetName val="Acquisitions"/>
      <sheetName val="RFPs"/>
      <sheetName val="Detailed Expenses"/>
      <sheetName val="PL6 - Headcount"/>
      <sheetName val="RPL - A&amp;M Analysis"/>
      <sheetName val="EBITDA Waterfall"/>
      <sheetName val="AMCP Comparison"/>
      <sheetName val="Combined BS"/>
      <sheetName val="EBITDA Waterful - EXTERNAL"/>
      <sheetName val="RFP Pipeline"/>
      <sheetName val="Transaction Comps"/>
      <sheetName val="Gina AR Aging"/>
      <sheetName val="Valuation Considerations"/>
      <sheetName val="AP Aging"/>
      <sheetName val="Contract Waterfall"/>
      <sheetName val="Valuation Tab"/>
    </sheetNames>
    <sheetDataSet>
      <sheetData sheetId="0" refreshError="1"/>
      <sheetData sheetId="1">
        <row r="1">
          <cell r="A1" t="str">
            <v>Paramedics Plus - LBO Analysis</v>
          </cell>
        </row>
        <row r="2">
          <cell r="A2" t="str">
            <v>($ in millions)</v>
          </cell>
          <cell r="F2" t="str">
            <v>Date:</v>
          </cell>
          <cell r="G2">
            <v>43157</v>
          </cell>
          <cell r="M2">
            <v>43157.789396296299</v>
          </cell>
          <cell r="W2" t="str">
            <v>RUNNING UPSIDE CASE</v>
          </cell>
          <cell r="AC2" t="str">
            <v>Cases:</v>
          </cell>
        </row>
        <row r="4">
          <cell r="A4" t="str">
            <v>Operating Cases</v>
          </cell>
          <cell r="C4" t="str">
            <v>Upside</v>
          </cell>
          <cell r="E4">
            <v>1</v>
          </cell>
          <cell r="AC4" t="str">
            <v>Upside</v>
          </cell>
        </row>
        <row r="5">
          <cell r="A5" t="str">
            <v>Segment</v>
          </cell>
          <cell r="G5" t="str">
            <v xml:space="preserve">Case </v>
          </cell>
          <cell r="AC5" t="str">
            <v>Base</v>
          </cell>
        </row>
        <row r="6">
          <cell r="A6" t="str">
            <v>Florida</v>
          </cell>
          <cell r="G6">
            <v>1</v>
          </cell>
          <cell r="AC6" t="str">
            <v>Downside</v>
          </cell>
        </row>
        <row r="7">
          <cell r="A7" t="str">
            <v>Indiana</v>
          </cell>
          <cell r="G7">
            <v>1</v>
          </cell>
          <cell r="AC7" t="str">
            <v>Lender</v>
          </cell>
        </row>
        <row r="8">
          <cell r="A8" t="str">
            <v>South Dakota</v>
          </cell>
          <cell r="G8">
            <v>1</v>
          </cell>
        </row>
        <row r="9">
          <cell r="A9" t="str">
            <v>Waco</v>
          </cell>
          <cell r="G9">
            <v>1</v>
          </cell>
        </row>
        <row r="10">
          <cell r="A10" t="str">
            <v>Wylie</v>
          </cell>
          <cell r="G10">
            <v>1</v>
          </cell>
        </row>
        <row r="11">
          <cell r="A11" t="str">
            <v>California</v>
          </cell>
          <cell r="G11">
            <v>1</v>
          </cell>
        </row>
        <row r="13">
          <cell r="A13" t="str">
            <v>Valuation</v>
          </cell>
          <cell r="G13" t="str">
            <v>Sources and Uses</v>
          </cell>
        </row>
        <row r="14">
          <cell r="A14" t="str">
            <v>Purchase Multiple At Close</v>
          </cell>
          <cell r="E14">
            <v>3.0213653798729552</v>
          </cell>
          <cell r="K14" t="str">
            <v>Mult. of</v>
          </cell>
          <cell r="M14" t="str">
            <v xml:space="preserve">Cumulative </v>
          </cell>
          <cell r="O14" t="str">
            <v>%</v>
          </cell>
          <cell r="W14" t="str">
            <v>Mult. of</v>
          </cell>
          <cell r="Y14" t="str">
            <v>%</v>
          </cell>
        </row>
        <row r="15">
          <cell r="A15" t="str">
            <v>2017E Adjusted EBITDA</v>
          </cell>
          <cell r="E15">
            <v>7.3145737841641916</v>
          </cell>
          <cell r="G15" t="str">
            <v>Sources</v>
          </cell>
          <cell r="I15" t="str">
            <v>$</v>
          </cell>
          <cell r="K15" t="str">
            <v>EBITDA</v>
          </cell>
          <cell r="M15" t="str">
            <v>Mult. EBITDA</v>
          </cell>
          <cell r="O15" t="str">
            <v>of Total</v>
          </cell>
          <cell r="Q15" t="str">
            <v>Uses</v>
          </cell>
          <cell r="U15" t="str">
            <v>$</v>
          </cell>
          <cell r="W15" t="str">
            <v>EBITDA</v>
          </cell>
          <cell r="Y15" t="str">
            <v>of Total</v>
          </cell>
        </row>
        <row r="16">
          <cell r="A16" t="str">
            <v>Enterprise Value at Close</v>
          </cell>
          <cell r="E16">
            <v>22.1</v>
          </cell>
          <cell r="G16" t="str">
            <v>Revolver</v>
          </cell>
          <cell r="I16">
            <v>0</v>
          </cell>
          <cell r="K16">
            <v>0</v>
          </cell>
          <cell r="M16">
            <v>0</v>
          </cell>
          <cell r="O16">
            <v>0</v>
          </cell>
          <cell r="Q16" t="str">
            <v>Purchase Price</v>
          </cell>
          <cell r="U16">
            <v>22.1</v>
          </cell>
          <cell r="W16">
            <v>3.0213653798729552</v>
          </cell>
          <cell r="Y16">
            <v>0.77366156374435679</v>
          </cell>
        </row>
        <row r="17">
          <cell r="A17" t="str">
            <v>Less: Net Debt</v>
          </cell>
          <cell r="E17">
            <v>0</v>
          </cell>
          <cell r="G17" t="str">
            <v>Sub. Debt</v>
          </cell>
          <cell r="I17">
            <v>0</v>
          </cell>
          <cell r="K17">
            <v>0</v>
          </cell>
          <cell r="M17">
            <v>0</v>
          </cell>
          <cell r="O17">
            <v>0</v>
          </cell>
          <cell r="Q17" t="str">
            <v>Pre-Funded B/S Cash</v>
          </cell>
          <cell r="U17">
            <v>3</v>
          </cell>
          <cell r="W17">
            <v>0.41014009681533325</v>
          </cell>
          <cell r="Y17">
            <v>0.10502193173000318</v>
          </cell>
        </row>
        <row r="18">
          <cell r="A18" t="str">
            <v>Purchase Price</v>
          </cell>
          <cell r="E18">
            <v>22.1</v>
          </cell>
          <cell r="G18" t="str">
            <v>AMCP Equity</v>
          </cell>
          <cell r="I18">
            <v>28.565462</v>
          </cell>
          <cell r="K18">
            <v>3.9052804500849074</v>
          </cell>
          <cell r="M18">
            <v>3.9052804500849074</v>
          </cell>
          <cell r="O18">
            <v>1</v>
          </cell>
        </row>
        <row r="19">
          <cell r="G19" t="str">
            <v>Mgmt Rollover</v>
          </cell>
          <cell r="I19">
            <v>0</v>
          </cell>
          <cell r="K19">
            <v>0</v>
          </cell>
          <cell r="M19">
            <v>3.9052804500849074</v>
          </cell>
          <cell r="O19">
            <v>0</v>
          </cell>
          <cell r="Q19" t="str">
            <v>Fees</v>
          </cell>
          <cell r="U19">
            <v>3.4654619999999996</v>
          </cell>
          <cell r="W19">
            <v>0.47377497339661939</v>
          </cell>
          <cell r="Y19">
            <v>0.12131650452564008</v>
          </cell>
        </row>
        <row r="20">
          <cell r="G20" t="str">
            <v>Total</v>
          </cell>
          <cell r="I20">
            <v>28.565462</v>
          </cell>
          <cell r="K20">
            <v>3.9052804500849074</v>
          </cell>
          <cell r="O20">
            <v>1</v>
          </cell>
          <cell r="Q20" t="str">
            <v>Total</v>
          </cell>
          <cell r="U20">
            <v>28.565462</v>
          </cell>
          <cell r="W20">
            <v>3.9052804500849079</v>
          </cell>
          <cell r="Y20">
            <v>1</v>
          </cell>
        </row>
        <row r="22">
          <cell r="A22" t="str">
            <v>Ownership Table</v>
          </cell>
          <cell r="M22" t="str">
            <v>Option Pool Plan</v>
          </cell>
          <cell r="U22" t="str">
            <v>Debt Assumptions</v>
          </cell>
        </row>
        <row r="23">
          <cell r="C23" t="str">
            <v>Initial</v>
          </cell>
          <cell r="E23" t="str">
            <v>Common</v>
          </cell>
          <cell r="G23" t="str">
            <v>Acq</v>
          </cell>
          <cell r="I23" t="str">
            <v xml:space="preserve">Total </v>
          </cell>
          <cell r="M23" t="str">
            <v>Total General Option Pool</v>
          </cell>
          <cell r="S23">
            <v>0.1</v>
          </cell>
          <cell r="U23" t="str">
            <v>Total Leverage</v>
          </cell>
          <cell r="Y23">
            <v>0</v>
          </cell>
        </row>
        <row r="24">
          <cell r="C24" t="str">
            <v xml:space="preserve">Preferred  </v>
          </cell>
          <cell r="E24" t="str">
            <v>% Share</v>
          </cell>
          <cell r="G24" t="str">
            <v>Preferred</v>
          </cell>
          <cell r="I24" t="str">
            <v xml:space="preserve">Preferred </v>
          </cell>
          <cell r="K24" t="str">
            <v>% Share</v>
          </cell>
          <cell r="M24" t="str">
            <v>Time Vesting</v>
          </cell>
          <cell r="S24">
            <v>0.6</v>
          </cell>
          <cell r="U24" t="str">
            <v>Revolver</v>
          </cell>
          <cell r="Y24">
            <v>0</v>
          </cell>
        </row>
        <row r="25">
          <cell r="A25" t="str">
            <v>AMCP</v>
          </cell>
          <cell r="C25">
            <v>28.565462</v>
          </cell>
          <cell r="E25">
            <v>1</v>
          </cell>
          <cell r="G25">
            <v>7</v>
          </cell>
          <cell r="I25">
            <v>35.565461999999997</v>
          </cell>
          <cell r="K25">
            <v>1</v>
          </cell>
          <cell r="M25" t="str">
            <v>Performance Vesting</v>
          </cell>
          <cell r="S25">
            <v>0.4</v>
          </cell>
          <cell r="U25" t="str">
            <v>Mezz. Financing</v>
          </cell>
          <cell r="Y25">
            <v>0</v>
          </cell>
        </row>
        <row r="26">
          <cell r="A26" t="str">
            <v>Management Rollover</v>
          </cell>
          <cell r="C26">
            <v>0</v>
          </cell>
          <cell r="E26">
            <v>0</v>
          </cell>
          <cell r="G26">
            <v>0</v>
          </cell>
          <cell r="I26">
            <v>0</v>
          </cell>
          <cell r="K26">
            <v>0</v>
          </cell>
          <cell r="Q26" t="str">
            <v>Pool</v>
          </cell>
          <cell r="S26" t="str">
            <v>MOIC</v>
          </cell>
          <cell r="U26" t="str">
            <v>Interest on Sr. Debt</v>
          </cell>
          <cell r="Y26">
            <v>650</v>
          </cell>
        </row>
        <row r="27">
          <cell r="M27" t="str">
            <v>Mgmt Time Vesting Options</v>
          </cell>
          <cell r="Q27">
            <v>0.1</v>
          </cell>
          <cell r="U27" t="str">
            <v>Cash Interest on Mezz</v>
          </cell>
          <cell r="Y27">
            <v>0.1</v>
          </cell>
        </row>
        <row r="28">
          <cell r="A28" t="str">
            <v>Mgmt Options</v>
          </cell>
          <cell r="C28">
            <v>0</v>
          </cell>
          <cell r="E28">
            <v>0</v>
          </cell>
          <cell r="G28">
            <v>0</v>
          </cell>
          <cell r="I28">
            <v>0</v>
          </cell>
          <cell r="K28">
            <v>0</v>
          </cell>
          <cell r="M28" t="str">
            <v>Time Vesting</v>
          </cell>
          <cell r="Q28">
            <v>0.06</v>
          </cell>
          <cell r="S28">
            <v>0</v>
          </cell>
          <cell r="U28" t="str">
            <v>PIK Interest on Mezz</v>
          </cell>
          <cell r="Y28">
            <v>0.02</v>
          </cell>
        </row>
        <row r="29">
          <cell r="A29" t="str">
            <v>Total</v>
          </cell>
          <cell r="C29">
            <v>28.565462</v>
          </cell>
          <cell r="E29">
            <v>1</v>
          </cell>
          <cell r="G29">
            <v>7</v>
          </cell>
          <cell r="I29">
            <v>35.565461999999997</v>
          </cell>
          <cell r="K29">
            <v>1</v>
          </cell>
          <cell r="M29" t="str">
            <v>Performance Tranche 1</v>
          </cell>
          <cell r="Q29">
            <v>1.3333333333333336E-2</v>
          </cell>
          <cell r="S29">
            <v>2</v>
          </cell>
          <cell r="U29" t="str">
            <v>Interest on Cash</v>
          </cell>
          <cell r="Y29">
            <v>0.01</v>
          </cell>
        </row>
        <row r="30">
          <cell r="M30" t="str">
            <v>Performance Tranche 2</v>
          </cell>
          <cell r="Q30">
            <v>1.3333333333333336E-2</v>
          </cell>
          <cell r="S30">
            <v>2.5</v>
          </cell>
          <cell r="U30" t="str">
            <v>Revolver Commitment</v>
          </cell>
          <cell r="Y30">
            <v>15</v>
          </cell>
        </row>
        <row r="31">
          <cell r="A31" t="str">
            <v>Transaction Fees &amp; Expenses</v>
          </cell>
          <cell r="M31" t="str">
            <v>Performance Tranche 3</v>
          </cell>
          <cell r="Q31">
            <v>1.3333333333333336E-2</v>
          </cell>
          <cell r="S31">
            <v>3</v>
          </cell>
          <cell r="U31" t="str">
            <v>Undrawn Revolver Fee</v>
          </cell>
          <cell r="Y31">
            <v>5.0000000000000001E-3</v>
          </cell>
        </row>
        <row r="32">
          <cell r="A32" t="str">
            <v>Debt Fees &amp; Expenses</v>
          </cell>
          <cell r="G32">
            <v>0.44999999999999996</v>
          </cell>
          <cell r="U32" t="str">
            <v>Financing Fees</v>
          </cell>
          <cell r="Y32">
            <v>0.03</v>
          </cell>
        </row>
        <row r="33">
          <cell r="A33" t="str">
            <v>Diligence Fees (screening memo)</v>
          </cell>
          <cell r="G33">
            <v>3.0154619999999999</v>
          </cell>
          <cell r="M33" t="str">
            <v>A&amp;M Monitoring Fee</v>
          </cell>
        </row>
        <row r="34">
          <cell r="A34" t="str">
            <v>Total</v>
          </cell>
          <cell r="G34">
            <v>3.4654619999999996</v>
          </cell>
          <cell r="M34" t="str">
            <v xml:space="preserve">Year 1 </v>
          </cell>
          <cell r="S34">
            <v>0.25</v>
          </cell>
          <cell r="AD34" t="str">
            <v>Transaction Accounting</v>
          </cell>
        </row>
        <row r="35">
          <cell r="M35" t="str">
            <v>EBITDA Up To</v>
          </cell>
          <cell r="Q35">
            <v>10</v>
          </cell>
          <cell r="S35">
            <v>0.5</v>
          </cell>
          <cell r="AD35" t="str">
            <v>Purchase Price (incl. deal transaction fees)</v>
          </cell>
          <cell r="AJ35">
            <v>25.115462000000001</v>
          </cell>
        </row>
        <row r="36">
          <cell r="M36" t="str">
            <v>EBITDA Greater Than</v>
          </cell>
          <cell r="Q36">
            <v>20</v>
          </cell>
          <cell r="S36">
            <v>1</v>
          </cell>
          <cell r="AD36" t="str">
            <v>Refinanced Debt (net)</v>
          </cell>
          <cell r="AJ36">
            <v>-2.3538741600000002</v>
          </cell>
        </row>
        <row r="37">
          <cell r="AD37" t="str">
            <v>Equity Purchase Price</v>
          </cell>
          <cell r="AJ37">
            <v>27.469336160000001</v>
          </cell>
        </row>
        <row r="38">
          <cell r="A38" t="str">
            <v>Acquisitions</v>
          </cell>
          <cell r="S38" t="str">
            <v>A&amp;M Post-Merger Consulting Fee</v>
          </cell>
          <cell r="AD38" t="str">
            <v>Book Value of Equity</v>
          </cell>
          <cell r="AJ38">
            <v>12.111302759999999</v>
          </cell>
        </row>
        <row r="39">
          <cell r="A39" t="str">
            <v>Pace of Acquisitions:</v>
          </cell>
          <cell r="M39" t="str">
            <v>Acquisitions On (1) / Off (0)</v>
          </cell>
          <cell r="Q39">
            <v>1</v>
          </cell>
          <cell r="S39" t="str">
            <v>Year 1</v>
          </cell>
          <cell r="Y39">
            <v>3</v>
          </cell>
          <cell r="AD39" t="str">
            <v>Plus: Step Up (Fleet)</v>
          </cell>
          <cell r="AJ39">
            <v>10</v>
          </cell>
        </row>
        <row r="40">
          <cell r="C40">
            <v>43465</v>
          </cell>
          <cell r="E40">
            <v>43830</v>
          </cell>
          <cell r="G40">
            <v>44196</v>
          </cell>
          <cell r="I40">
            <v>44561</v>
          </cell>
          <cell r="K40">
            <v>44926</v>
          </cell>
          <cell r="M40" t="str">
            <v>Purchase Multiple</v>
          </cell>
          <cell r="Q40">
            <v>4</v>
          </cell>
          <cell r="S40" t="str">
            <v>Year 2</v>
          </cell>
          <cell r="Y40">
            <v>2</v>
          </cell>
          <cell r="AD40" t="str">
            <v>PF Book Value of Equity</v>
          </cell>
          <cell r="AJ40">
            <v>22.111302760000001</v>
          </cell>
        </row>
        <row r="41">
          <cell r="A41" t="str">
            <v>Acqs (Scheduled)</v>
          </cell>
          <cell r="C41">
            <v>1</v>
          </cell>
          <cell r="D41">
            <v>1</v>
          </cell>
          <cell r="E41">
            <v>1</v>
          </cell>
          <cell r="G41">
            <v>1</v>
          </cell>
          <cell r="I41">
            <v>2</v>
          </cell>
          <cell r="K41">
            <v>2</v>
          </cell>
          <cell r="AD41" t="str">
            <v>Less: Book Value of Goodwill</v>
          </cell>
          <cell r="AJ41">
            <v>0</v>
          </cell>
        </row>
        <row r="42">
          <cell r="A42" t="str">
            <v>Equity Raise (Preferred)</v>
          </cell>
          <cell r="C42">
            <v>1</v>
          </cell>
          <cell r="E42">
            <v>1</v>
          </cell>
          <cell r="G42">
            <v>1</v>
          </cell>
          <cell r="I42">
            <v>2</v>
          </cell>
          <cell r="K42">
            <v>2</v>
          </cell>
          <cell r="AD42" t="str">
            <v>Tangible Book Value</v>
          </cell>
          <cell r="AJ42">
            <v>22.111302760000001</v>
          </cell>
        </row>
        <row r="43">
          <cell r="A43" t="str">
            <v>Planned Debt Raise (Senior)</v>
          </cell>
          <cell r="C43">
            <v>3</v>
          </cell>
          <cell r="E43">
            <v>3</v>
          </cell>
          <cell r="G43">
            <v>3</v>
          </cell>
          <cell r="I43">
            <v>6</v>
          </cell>
          <cell r="K43">
            <v>6</v>
          </cell>
          <cell r="AD43" t="str">
            <v>Goodwill/Intangibles Created</v>
          </cell>
          <cell r="AJ43">
            <v>5.3580334000000001</v>
          </cell>
        </row>
        <row r="44">
          <cell r="AD44" t="str">
            <v>Tax Rate</v>
          </cell>
          <cell r="AJ44">
            <v>0</v>
          </cell>
        </row>
        <row r="45">
          <cell r="A45" t="str">
            <v xml:space="preserve">RFPs </v>
          </cell>
          <cell r="AD45" t="str">
            <v>Pro Forma Goodwill</v>
          </cell>
          <cell r="AJ45">
            <v>5.3580334000000001</v>
          </cell>
        </row>
        <row r="46">
          <cell r="A46" t="str">
            <v>Pace of Acquisitions:</v>
          </cell>
          <cell r="M46" t="str">
            <v>RFPs On (1) / Off (0)</v>
          </cell>
          <cell r="Q46">
            <v>1</v>
          </cell>
          <cell r="S46" t="str">
            <v>Deal Stats</v>
          </cell>
          <cell r="W46" t="str">
            <v>EV</v>
          </cell>
          <cell r="Y46" t="str">
            <v>EBITDA</v>
          </cell>
          <cell r="AD46" t="str">
            <v>Goodwill Amortization Period (Years)</v>
          </cell>
          <cell r="AJ46">
            <v>15</v>
          </cell>
        </row>
        <row r="47">
          <cell r="C47">
            <v>43465</v>
          </cell>
          <cell r="E47">
            <v>43830</v>
          </cell>
          <cell r="G47">
            <v>44196</v>
          </cell>
          <cell r="I47">
            <v>44561</v>
          </cell>
          <cell r="K47">
            <v>44926</v>
          </cell>
          <cell r="S47" t="str">
            <v>Management Case</v>
          </cell>
          <cell r="W47">
            <v>22.1</v>
          </cell>
          <cell r="Y47">
            <v>7.3145737841641916</v>
          </cell>
          <cell r="AD47" t="str">
            <v>Goodwill Amortization</v>
          </cell>
          <cell r="AJ47">
            <v>0.35720222666666668</v>
          </cell>
        </row>
        <row r="48">
          <cell r="A48" t="str">
            <v>SMALL CONTRACTS WON</v>
          </cell>
          <cell r="C48">
            <v>0</v>
          </cell>
          <cell r="D48">
            <v>1</v>
          </cell>
          <cell r="E48">
            <v>1</v>
          </cell>
          <cell r="G48">
            <v>1</v>
          </cell>
          <cell r="I48">
            <v>0</v>
          </cell>
          <cell r="K48">
            <v>0</v>
          </cell>
          <cell r="S48" t="str">
            <v>Base Case</v>
          </cell>
          <cell r="W48">
            <v>22.1</v>
          </cell>
          <cell r="Y48">
            <v>7.3145737841641916</v>
          </cell>
          <cell r="AD48" t="str">
            <v>Financing Fees Amortization Years</v>
          </cell>
          <cell r="AJ48">
            <v>7</v>
          </cell>
        </row>
        <row r="49">
          <cell r="S49" t="str">
            <v>Downside</v>
          </cell>
          <cell r="W49">
            <v>22.1</v>
          </cell>
          <cell r="Y49">
            <v>7.3145737841641916</v>
          </cell>
          <cell r="AD49" t="str">
            <v>Estimated Financing Fees</v>
          </cell>
          <cell r="AJ49">
            <v>0.44999999999999996</v>
          </cell>
        </row>
        <row r="50">
          <cell r="A50" t="str">
            <v>LARGE CONTRACTS WON</v>
          </cell>
          <cell r="C50">
            <v>0</v>
          </cell>
          <cell r="D50">
            <v>1</v>
          </cell>
          <cell r="E50">
            <v>0</v>
          </cell>
          <cell r="G50">
            <v>0</v>
          </cell>
          <cell r="I50">
            <v>1</v>
          </cell>
          <cell r="K50">
            <v>0</v>
          </cell>
          <cell r="S50" t="str">
            <v>Lender Case</v>
          </cell>
          <cell r="W50">
            <v>22.1</v>
          </cell>
          <cell r="Y50">
            <v>7.3145737841641916</v>
          </cell>
          <cell r="AD50" t="str">
            <v>Financing Fees Amortization</v>
          </cell>
          <cell r="AJ50">
            <v>6.4285714285714279E-2</v>
          </cell>
        </row>
        <row r="51">
          <cell r="A51" t="str">
            <v>TOTAL:</v>
          </cell>
          <cell r="C51">
            <v>0</v>
          </cell>
          <cell r="E51">
            <v>1</v>
          </cell>
          <cell r="G51">
            <v>1</v>
          </cell>
          <cell r="I51">
            <v>1</v>
          </cell>
          <cell r="K51">
            <v>0</v>
          </cell>
          <cell r="S51" t="str">
            <v xml:space="preserve">ETX Earnout </v>
          </cell>
          <cell r="W51">
            <v>5</v>
          </cell>
        </row>
        <row r="54">
          <cell r="A54" t="str">
            <v>Income Statement ($mm)</v>
          </cell>
        </row>
        <row r="56">
          <cell r="M56">
            <v>1</v>
          </cell>
          <cell r="O56">
            <v>2</v>
          </cell>
          <cell r="Q56">
            <v>3</v>
          </cell>
          <cell r="S56">
            <v>4</v>
          </cell>
          <cell r="U56">
            <v>5</v>
          </cell>
        </row>
        <row r="57">
          <cell r="I57">
            <v>42735</v>
          </cell>
          <cell r="K57">
            <v>43100</v>
          </cell>
          <cell r="M57">
            <v>43465</v>
          </cell>
          <cell r="O57">
            <v>43830</v>
          </cell>
          <cell r="Q57">
            <v>44196</v>
          </cell>
          <cell r="S57">
            <v>44561</v>
          </cell>
          <cell r="U57">
            <v>44926</v>
          </cell>
        </row>
        <row r="58">
          <cell r="A58" t="str">
            <v>CORE P&amp;L:</v>
          </cell>
        </row>
        <row r="60">
          <cell r="A60" t="str">
            <v>Net Sales (CORE)</v>
          </cell>
          <cell r="I60">
            <v>126.59644733668867</v>
          </cell>
          <cell r="K60">
            <v>137.18149013406895</v>
          </cell>
          <cell r="M60">
            <v>138.29283021505915</v>
          </cell>
          <cell r="O60">
            <v>135.26288621489411</v>
          </cell>
          <cell r="Q60">
            <v>138.35086416391647</v>
          </cell>
          <cell r="S60">
            <v>141.52083376867327</v>
          </cell>
          <cell r="U60">
            <v>144.77515937969582</v>
          </cell>
        </row>
        <row r="61">
          <cell r="A61" t="str">
            <v>% Growth</v>
          </cell>
          <cell r="K61">
            <v>8.361247902343516E-2</v>
          </cell>
          <cell r="M61">
            <v>8.1012393137300798E-3</v>
          </cell>
          <cell r="O61">
            <v>-2.1909624638191127E-2</v>
          </cell>
          <cell r="Q61">
            <v>2.2829454815243677E-2</v>
          </cell>
          <cell r="S61">
            <v>2.2912539245154795E-2</v>
          </cell>
          <cell r="U61">
            <v>2.2995381841390161E-2</v>
          </cell>
        </row>
        <row r="63">
          <cell r="A63" t="str">
            <v>Adjusted EBITDA (CORE)</v>
          </cell>
          <cell r="I63">
            <v>10.368133323649667</v>
          </cell>
          <cell r="K63">
            <v>12.45046719162734</v>
          </cell>
          <cell r="M63">
            <v>13.187995944563074</v>
          </cell>
          <cell r="O63">
            <v>12.961997556089841</v>
          </cell>
          <cell r="Q63">
            <v>13.71124923375509</v>
          </cell>
          <cell r="S63">
            <v>14.486768348280123</v>
          </cell>
          <cell r="U63">
            <v>15.289473088347574</v>
          </cell>
        </row>
        <row r="64">
          <cell r="A64" t="str">
            <v xml:space="preserve">%  Margin </v>
          </cell>
          <cell r="I64">
            <v>8.1899085967832672E-2</v>
          </cell>
          <cell r="K64">
            <v>9.0759089870356149E-2</v>
          </cell>
          <cell r="M64">
            <v>9.5362832072020107E-2</v>
          </cell>
          <cell r="O64">
            <v>9.5828189969988722E-2</v>
          </cell>
          <cell r="Q64">
            <v>9.9104904885235587E-2</v>
          </cell>
          <cell r="S64">
            <v>0.10236491661686974</v>
          </cell>
          <cell r="U64">
            <v>0.10560840101200307</v>
          </cell>
        </row>
        <row r="66">
          <cell r="A66" t="str">
            <v>Depreciation &amp; Amortization</v>
          </cell>
          <cell r="I66">
            <v>6.67431047</v>
          </cell>
          <cell r="K66">
            <v>4.8991258511418021</v>
          </cell>
          <cell r="M66">
            <v>5.1542020143839542</v>
          </cell>
          <cell r="O66">
            <v>5.4242777143710326</v>
          </cell>
          <cell r="Q66">
            <v>0</v>
          </cell>
          <cell r="S66">
            <v>0</v>
          </cell>
          <cell r="U66">
            <v>0</v>
          </cell>
        </row>
        <row r="68">
          <cell r="A68" t="str">
            <v>Adjusted EBIT (CORE)</v>
          </cell>
          <cell r="I68">
            <v>3.6938228536496673</v>
          </cell>
          <cell r="K68">
            <v>7.5513413404855374</v>
          </cell>
          <cell r="M68">
            <v>8.0337939301791188</v>
          </cell>
          <cell r="O68">
            <v>7.5377198417188085</v>
          </cell>
          <cell r="Q68">
            <v>13.71124923375509</v>
          </cell>
          <cell r="S68">
            <v>14.486768348280123</v>
          </cell>
          <cell r="U68">
            <v>15.289473088347574</v>
          </cell>
        </row>
        <row r="70">
          <cell r="A70" t="str">
            <v>CapEx (CORE)</v>
          </cell>
          <cell r="I70">
            <v>4.2986517900000001</v>
          </cell>
          <cell r="K70">
            <v>4.2500464640000004</v>
          </cell>
          <cell r="M70">
            <v>3.9350000000000001</v>
          </cell>
          <cell r="O70">
            <v>10.424999999999999</v>
          </cell>
          <cell r="Q70">
            <v>1.7060000000000002</v>
          </cell>
          <cell r="S70">
            <v>2.25</v>
          </cell>
          <cell r="U70">
            <v>4.5790000000000006</v>
          </cell>
        </row>
        <row r="71">
          <cell r="A71" t="str">
            <v>% Total Revenue</v>
          </cell>
          <cell r="I71">
            <v>3.3955548362013283E-2</v>
          </cell>
          <cell r="K71">
            <v>3.0981194765025397E-2</v>
          </cell>
          <cell r="M71">
            <v>2.8454114315837505E-2</v>
          </cell>
          <cell r="O71">
            <v>7.7072139237348888E-2</v>
          </cell>
          <cell r="Q71">
            <v>1.233096743059553E-2</v>
          </cell>
          <cell r="S71">
            <v>1.5898719220929679E-2</v>
          </cell>
          <cell r="U71">
            <v>3.1628354060318088E-2</v>
          </cell>
        </row>
        <row r="74">
          <cell r="A74" t="str">
            <v>ACQUISITIONS P&amp;L:</v>
          </cell>
        </row>
        <row r="76">
          <cell r="A76" t="str">
            <v>Net Sales (Acquisitions)</v>
          </cell>
          <cell r="M76">
            <v>10</v>
          </cell>
          <cell r="O76">
            <v>20.2</v>
          </cell>
          <cell r="Q76">
            <v>30.603999999999999</v>
          </cell>
          <cell r="S76">
            <v>51.216079999999998</v>
          </cell>
          <cell r="U76">
            <v>72.240401599999998</v>
          </cell>
        </row>
        <row r="77">
          <cell r="A77" t="str">
            <v>%  Growth</v>
          </cell>
          <cell r="M77" t="str">
            <v>NA</v>
          </cell>
          <cell r="O77">
            <v>1.02</v>
          </cell>
          <cell r="Q77">
            <v>0.51504950495049506</v>
          </cell>
          <cell r="S77">
            <v>0.67350934518363603</v>
          </cell>
          <cell r="U77">
            <v>0.41050235785323674</v>
          </cell>
        </row>
        <row r="79">
          <cell r="A79" t="str">
            <v>EBITDA (Acquisitions)</v>
          </cell>
          <cell r="M79">
            <v>1</v>
          </cell>
          <cell r="O79">
            <v>2.02</v>
          </cell>
          <cell r="Q79">
            <v>3.0604</v>
          </cell>
          <cell r="S79">
            <v>5.1216080000000002</v>
          </cell>
          <cell r="U79">
            <v>7.2240401599999995</v>
          </cell>
        </row>
        <row r="80">
          <cell r="A80" t="str">
            <v>% Margin</v>
          </cell>
          <cell r="M80">
            <v>0.1</v>
          </cell>
          <cell r="O80">
            <v>0.1</v>
          </cell>
          <cell r="Q80">
            <v>0.1</v>
          </cell>
          <cell r="S80">
            <v>0.1</v>
          </cell>
          <cell r="U80">
            <v>9.9999999999999992E-2</v>
          </cell>
        </row>
        <row r="82">
          <cell r="A82" t="str">
            <v>Depreciation &amp; Amortization</v>
          </cell>
          <cell r="M82">
            <v>0.29999999999999993</v>
          </cell>
          <cell r="O82">
            <v>0.60599999999999987</v>
          </cell>
          <cell r="Q82">
            <v>0.9181199999999996</v>
          </cell>
          <cell r="S82">
            <v>1.5364824000000006</v>
          </cell>
          <cell r="U82">
            <v>2.1672120479999997</v>
          </cell>
        </row>
        <row r="84">
          <cell r="A84" t="str">
            <v>EBIT (Acquisitions)</v>
          </cell>
          <cell r="M84">
            <v>0.70000000000000007</v>
          </cell>
          <cell r="O84">
            <v>1.4140000000000001</v>
          </cell>
          <cell r="Q84">
            <v>2.1422800000000004</v>
          </cell>
          <cell r="S84">
            <v>3.5851255999999996</v>
          </cell>
          <cell r="U84">
            <v>5.0568281119999998</v>
          </cell>
        </row>
        <row r="86">
          <cell r="A86" t="str">
            <v>CapEx (Acquisitions)</v>
          </cell>
          <cell r="M86">
            <v>0.3</v>
          </cell>
          <cell r="O86">
            <v>0.60599999999999998</v>
          </cell>
          <cell r="Q86">
            <v>0.91812000000000005</v>
          </cell>
          <cell r="S86">
            <v>1.5364823999999999</v>
          </cell>
          <cell r="U86">
            <v>2.1672120480000001</v>
          </cell>
        </row>
        <row r="87">
          <cell r="A87" t="str">
            <v>% Net Sales</v>
          </cell>
          <cell r="M87">
            <v>0.03</v>
          </cell>
          <cell r="O87">
            <v>0.03</v>
          </cell>
          <cell r="Q87">
            <v>3.0000000000000002E-2</v>
          </cell>
          <cell r="S87">
            <v>0.03</v>
          </cell>
          <cell r="U87">
            <v>3.0000000000000002E-2</v>
          </cell>
        </row>
        <row r="90">
          <cell r="A90" t="str">
            <v>RFPs P&amp;L:</v>
          </cell>
        </row>
        <row r="92">
          <cell r="A92" t="str">
            <v>Net Sales (RFPs)</v>
          </cell>
          <cell r="M92">
            <v>0</v>
          </cell>
          <cell r="O92">
            <v>10</v>
          </cell>
          <cell r="Q92">
            <v>20</v>
          </cell>
          <cell r="S92">
            <v>40</v>
          </cell>
          <cell r="U92">
            <v>40</v>
          </cell>
        </row>
        <row r="93">
          <cell r="A93" t="str">
            <v>%  Growth</v>
          </cell>
          <cell r="M93" t="str">
            <v>NA</v>
          </cell>
          <cell r="O93" t="str">
            <v>NA</v>
          </cell>
          <cell r="Q93">
            <v>1</v>
          </cell>
          <cell r="S93">
            <v>1</v>
          </cell>
          <cell r="U93">
            <v>0</v>
          </cell>
        </row>
        <row r="95">
          <cell r="A95" t="str">
            <v>EBITDA (RFPs)</v>
          </cell>
          <cell r="M95">
            <v>0</v>
          </cell>
          <cell r="O95">
            <v>1</v>
          </cell>
          <cell r="Q95">
            <v>2</v>
          </cell>
          <cell r="S95">
            <v>4</v>
          </cell>
          <cell r="U95">
            <v>4</v>
          </cell>
        </row>
        <row r="96">
          <cell r="A96" t="str">
            <v>% Margin</v>
          </cell>
          <cell r="M96" t="str">
            <v>NA</v>
          </cell>
          <cell r="O96">
            <v>0.1</v>
          </cell>
          <cell r="Q96">
            <v>0.1</v>
          </cell>
          <cell r="S96">
            <v>0.1</v>
          </cell>
          <cell r="U96">
            <v>0.1</v>
          </cell>
        </row>
        <row r="98">
          <cell r="A98" t="str">
            <v>EBIT (RFPs)</v>
          </cell>
          <cell r="M98">
            <v>0</v>
          </cell>
          <cell r="O98">
            <v>0.70000000000000007</v>
          </cell>
          <cell r="Q98">
            <v>1.4000000000000001</v>
          </cell>
          <cell r="S98">
            <v>2.8000000000000003</v>
          </cell>
          <cell r="U98">
            <v>2.8000000000000003</v>
          </cell>
        </row>
        <row r="100">
          <cell r="A100" t="str">
            <v>CapEx (RFPs)</v>
          </cell>
          <cell r="M100">
            <v>0</v>
          </cell>
          <cell r="O100">
            <v>0.5</v>
          </cell>
          <cell r="Q100">
            <v>1</v>
          </cell>
          <cell r="S100">
            <v>2</v>
          </cell>
          <cell r="U100">
            <v>2</v>
          </cell>
        </row>
        <row r="101">
          <cell r="A101" t="str">
            <v>% Net Sales</v>
          </cell>
          <cell r="M101" t="str">
            <v>NA</v>
          </cell>
          <cell r="O101">
            <v>0.05</v>
          </cell>
          <cell r="Q101">
            <v>0.05</v>
          </cell>
          <cell r="S101">
            <v>0.05</v>
          </cell>
          <cell r="U101">
            <v>0.05</v>
          </cell>
        </row>
        <row r="103">
          <cell r="A103" t="str">
            <v>TOTAL P&amp;L:</v>
          </cell>
        </row>
        <row r="105">
          <cell r="A105" t="str">
            <v>Net Sales (TOTAL)</v>
          </cell>
          <cell r="I105">
            <v>126.59644733668867</v>
          </cell>
          <cell r="K105">
            <v>137.18149013406895</v>
          </cell>
          <cell r="M105">
            <v>148.29283021505915</v>
          </cell>
          <cell r="O105">
            <v>165.4628862148941</v>
          </cell>
          <cell r="Q105">
            <v>188.95486416391645</v>
          </cell>
          <cell r="S105">
            <v>232.73691376867328</v>
          </cell>
          <cell r="U105">
            <v>257.01556097969581</v>
          </cell>
        </row>
        <row r="106">
          <cell r="A106" t="str">
            <v>%  Growth</v>
          </cell>
          <cell r="K106">
            <v>8.361247902343516E-2</v>
          </cell>
          <cell r="M106">
            <v>8.0997371220643322E-2</v>
          </cell>
          <cell r="O106">
            <v>0.11578480210361053</v>
          </cell>
          <cell r="Q106">
            <v>0.14197732486372971</v>
          </cell>
          <cell r="S106">
            <v>0.2317063908276864</v>
          </cell>
          <cell r="U106">
            <v>0.10431799072129166</v>
          </cell>
        </row>
        <row r="108">
          <cell r="A108" t="str">
            <v>EBITDA (TOTAL)</v>
          </cell>
          <cell r="I108">
            <v>10.368133323649667</v>
          </cell>
          <cell r="K108">
            <v>12.45046719162734</v>
          </cell>
          <cell r="M108">
            <v>14.187995944563074</v>
          </cell>
          <cell r="O108">
            <v>15.981997556089841</v>
          </cell>
          <cell r="Q108">
            <v>18.771649233755092</v>
          </cell>
          <cell r="S108">
            <v>23.608376348280125</v>
          </cell>
          <cell r="U108">
            <v>26.513513248347572</v>
          </cell>
        </row>
        <row r="109">
          <cell r="A109" t="str">
            <v>% Margin</v>
          </cell>
          <cell r="I109">
            <v>8.1899085967832672E-2</v>
          </cell>
          <cell r="K109">
            <v>9.0759089870356149E-2</v>
          </cell>
          <cell r="M109">
            <v>9.567553551973601E-2</v>
          </cell>
          <cell r="O109">
            <v>9.6589621525961428E-2</v>
          </cell>
          <cell r="Q109">
            <v>9.9344620297632955E-2</v>
          </cell>
          <cell r="S109">
            <v>0.10143803991379491</v>
          </cell>
          <cell r="U109">
            <v>0.1031591750603853</v>
          </cell>
        </row>
        <row r="111">
          <cell r="A111" t="str">
            <v>Existing Depreciation (CORE)</v>
          </cell>
          <cell r="I111">
            <v>6.67431047</v>
          </cell>
          <cell r="K111">
            <v>4.8991258511418021</v>
          </cell>
          <cell r="M111">
            <v>5.1542020143839542</v>
          </cell>
          <cell r="O111">
            <v>5.4242777143710326</v>
          </cell>
          <cell r="Q111">
            <v>0</v>
          </cell>
          <cell r="S111">
            <v>0</v>
          </cell>
          <cell r="U111">
            <v>0</v>
          </cell>
        </row>
        <row r="112">
          <cell r="A112" t="str">
            <v>New Depreciation (CORE)</v>
          </cell>
          <cell r="M112">
            <v>0.56214285714285717</v>
          </cell>
          <cell r="O112">
            <v>2.0514285714285712</v>
          </cell>
          <cell r="Q112">
            <v>2.8572857142857142</v>
          </cell>
          <cell r="S112">
            <v>5.7922857142857138</v>
          </cell>
          <cell r="U112">
            <v>11.917285714285713</v>
          </cell>
        </row>
        <row r="113">
          <cell r="A113" t="str">
            <v>Existing Depreciation (Acquisitions)</v>
          </cell>
          <cell r="I113">
            <v>0</v>
          </cell>
          <cell r="K113">
            <v>0</v>
          </cell>
          <cell r="M113">
            <v>0.29999999999999993</v>
          </cell>
          <cell r="O113">
            <v>0.60599999999999987</v>
          </cell>
          <cell r="Q113">
            <v>0.9181199999999996</v>
          </cell>
          <cell r="S113">
            <v>1.5364824000000006</v>
          </cell>
          <cell r="U113">
            <v>2.1672120479999997</v>
          </cell>
        </row>
        <row r="114">
          <cell r="A114" t="str">
            <v>New Depreciation (Acquisitions)</v>
          </cell>
          <cell r="M114">
            <v>4.2857142857142858E-2</v>
          </cell>
          <cell r="O114">
            <v>0.12942857142857142</v>
          </cell>
          <cell r="Q114">
            <v>0.30344571428571426</v>
          </cell>
          <cell r="S114">
            <v>0.69522891428571421</v>
          </cell>
          <cell r="U114">
            <v>1.4805620639999999</v>
          </cell>
        </row>
        <row r="115">
          <cell r="A115" t="str">
            <v>New Depreciation (RFPs)</v>
          </cell>
          <cell r="M115">
            <v>0</v>
          </cell>
          <cell r="O115">
            <v>7.1428571428571425E-2</v>
          </cell>
          <cell r="Q115">
            <v>0.21428571428571427</v>
          </cell>
          <cell r="S115">
            <v>0.5714285714285714</v>
          </cell>
          <cell r="U115">
            <v>1.1428571428571428</v>
          </cell>
        </row>
        <row r="116">
          <cell r="A116" t="str">
            <v xml:space="preserve">Amortization of Financing Fees </v>
          </cell>
          <cell r="M116">
            <v>6.4285714285714279E-2</v>
          </cell>
          <cell r="O116">
            <v>6.4285714285714279E-2</v>
          </cell>
          <cell r="Q116">
            <v>6.4285714285714279E-2</v>
          </cell>
          <cell r="S116">
            <v>6.4285714285714279E-2</v>
          </cell>
          <cell r="U116">
            <v>6.4285714285714279E-2</v>
          </cell>
        </row>
        <row r="117">
          <cell r="A117" t="str">
            <v xml:space="preserve">Amortization of Goodwill </v>
          </cell>
          <cell r="M117">
            <v>0.35720222666666668</v>
          </cell>
          <cell r="O117">
            <v>0.35720222666666668</v>
          </cell>
          <cell r="Q117">
            <v>0.35720222666666668</v>
          </cell>
          <cell r="S117">
            <v>0.35720222666666668</v>
          </cell>
          <cell r="U117">
            <v>0.35720222666666668</v>
          </cell>
        </row>
        <row r="118">
          <cell r="A118" t="str">
            <v>Total Depreciation &amp; Amortization</v>
          </cell>
          <cell r="I118">
            <v>6.67431047</v>
          </cell>
          <cell r="K118">
            <v>4.8991258511418021</v>
          </cell>
          <cell r="M118">
            <v>6.4806899553363344</v>
          </cell>
          <cell r="O118">
            <v>8.7040513696091271</v>
          </cell>
          <cell r="Q118">
            <v>4.7146250838095236</v>
          </cell>
          <cell r="S118">
            <v>9.0169135409523822</v>
          </cell>
          <cell r="U118">
            <v>17.129404910095232</v>
          </cell>
        </row>
        <row r="120">
          <cell r="A120" t="str">
            <v>A&amp;M Monitoring Fee</v>
          </cell>
          <cell r="I120">
            <v>0</v>
          </cell>
          <cell r="K120">
            <v>0</v>
          </cell>
          <cell r="M120">
            <v>0.25</v>
          </cell>
          <cell r="O120">
            <v>0.5</v>
          </cell>
          <cell r="Q120">
            <v>0.5</v>
          </cell>
          <cell r="S120">
            <v>1</v>
          </cell>
          <cell r="U120">
            <v>1</v>
          </cell>
        </row>
        <row r="121">
          <cell r="A121" t="str">
            <v>One-Time Standalone Expenses</v>
          </cell>
          <cell r="I121">
            <v>0</v>
          </cell>
          <cell r="K121">
            <v>0</v>
          </cell>
          <cell r="M121">
            <v>1.3</v>
          </cell>
          <cell r="O121">
            <v>0</v>
          </cell>
          <cell r="Q121">
            <v>0</v>
          </cell>
          <cell r="S121">
            <v>0</v>
          </cell>
          <cell r="U121">
            <v>0</v>
          </cell>
        </row>
        <row r="122">
          <cell r="A122" t="str">
            <v>Transition Services Agreement</v>
          </cell>
          <cell r="I122">
            <v>0</v>
          </cell>
          <cell r="K122">
            <v>0</v>
          </cell>
          <cell r="M122">
            <v>1.1332200000000001</v>
          </cell>
          <cell r="O122">
            <v>0</v>
          </cell>
          <cell r="Q122">
            <v>0</v>
          </cell>
          <cell r="S122">
            <v>0</v>
          </cell>
          <cell r="U122">
            <v>0</v>
          </cell>
        </row>
        <row r="123">
          <cell r="A123" t="str">
            <v>Post-Close Consulting Fees</v>
          </cell>
          <cell r="I123">
            <v>0</v>
          </cell>
          <cell r="K123">
            <v>0</v>
          </cell>
          <cell r="M123">
            <v>3</v>
          </cell>
          <cell r="O123">
            <v>2</v>
          </cell>
          <cell r="Q123">
            <v>0</v>
          </cell>
          <cell r="S123">
            <v>0</v>
          </cell>
          <cell r="U123">
            <v>0</v>
          </cell>
        </row>
        <row r="124">
          <cell r="A124" t="str">
            <v>EBIT (TOTAL)</v>
          </cell>
          <cell r="I124">
            <v>3.6938228536496673</v>
          </cell>
          <cell r="K124">
            <v>7.5513413404855374</v>
          </cell>
          <cell r="M124">
            <v>2.0240859892267391</v>
          </cell>
          <cell r="O124">
            <v>4.7779461864807136</v>
          </cell>
          <cell r="Q124">
            <v>13.557024149945569</v>
          </cell>
          <cell r="S124">
            <v>13.591462807327742</v>
          </cell>
          <cell r="U124">
            <v>8.3841083382523394</v>
          </cell>
        </row>
        <row r="126">
          <cell r="A126" t="str">
            <v>Interest Expense</v>
          </cell>
          <cell r="M126">
            <v>9.5919035254438845E-2</v>
          </cell>
          <cell r="O126">
            <v>0.13706581776937024</v>
          </cell>
          <cell r="Q126">
            <v>0.12151696164375723</v>
          </cell>
          <cell r="S126">
            <v>7.4999999999999997E-2</v>
          </cell>
          <cell r="U126">
            <v>7.4999999999999997E-2</v>
          </cell>
        </row>
        <row r="128">
          <cell r="A128" t="str">
            <v>Earnings Before Taxes</v>
          </cell>
          <cell r="I128">
            <v>3.6938228536496673</v>
          </cell>
          <cell r="K128">
            <v>7.5513413404855374</v>
          </cell>
          <cell r="M128">
            <v>1.9281669539723003</v>
          </cell>
          <cell r="O128">
            <v>4.6408803687113434</v>
          </cell>
          <cell r="Q128">
            <v>13.435507188301813</v>
          </cell>
          <cell r="S128">
            <v>13.516462807327743</v>
          </cell>
          <cell r="U128">
            <v>8.3091083382523401</v>
          </cell>
        </row>
        <row r="130">
          <cell r="A130" t="str">
            <v>Tax Expense</v>
          </cell>
          <cell r="M130">
            <v>0</v>
          </cell>
          <cell r="O130">
            <v>0</v>
          </cell>
          <cell r="Q130">
            <v>0</v>
          </cell>
          <cell r="S130">
            <v>4.0626051216948706</v>
          </cell>
          <cell r="U130">
            <v>4.2304114474427497</v>
          </cell>
          <cell r="AB130" t="str">
            <v>Circ</v>
          </cell>
        </row>
        <row r="131">
          <cell r="AB131">
            <v>1</v>
          </cell>
        </row>
        <row r="132">
          <cell r="A132" t="str">
            <v>Net Income</v>
          </cell>
          <cell r="I132">
            <v>3.6938228536496673</v>
          </cell>
          <cell r="K132">
            <v>7.5513413404855374</v>
          </cell>
          <cell r="M132">
            <v>1.9281669539723003</v>
          </cell>
          <cell r="O132">
            <v>4.6408803687113434</v>
          </cell>
          <cell r="Q132">
            <v>13.435507188301813</v>
          </cell>
          <cell r="S132">
            <v>9.4538576856328724</v>
          </cell>
          <cell r="U132">
            <v>4.0786968908095904</v>
          </cell>
        </row>
        <row r="134">
          <cell r="A134" t="str">
            <v xml:space="preserve">Memo: Total Capital Expenditures </v>
          </cell>
          <cell r="I134">
            <v>4.2986517900000001</v>
          </cell>
          <cell r="K134">
            <v>4.2500464640000004</v>
          </cell>
          <cell r="M134">
            <v>4.2350000000000003</v>
          </cell>
          <cell r="O134">
            <v>11.530999999999999</v>
          </cell>
          <cell r="Q134">
            <v>3.6241200000000005</v>
          </cell>
          <cell r="S134">
            <v>5.7864823999999997</v>
          </cell>
          <cell r="U134">
            <v>8.7462120480000003</v>
          </cell>
        </row>
        <row r="137">
          <cell r="A137" t="str">
            <v>Interest Deductibility Schedule</v>
          </cell>
        </row>
        <row r="139">
          <cell r="A139" t="str">
            <v xml:space="preserve">EBITDA </v>
          </cell>
          <cell r="M139">
            <v>14.187995944563074</v>
          </cell>
          <cell r="O139">
            <v>15.981997556089841</v>
          </cell>
          <cell r="Q139">
            <v>18.771649233755092</v>
          </cell>
          <cell r="S139">
            <v>23.608376348280125</v>
          </cell>
          <cell r="U139">
            <v>26.513513248347572</v>
          </cell>
        </row>
        <row r="140">
          <cell r="A140" t="str">
            <v>(-) A&amp;M Monitoring Fee</v>
          </cell>
          <cell r="M140">
            <v>0.25</v>
          </cell>
          <cell r="O140">
            <v>0.5</v>
          </cell>
          <cell r="Q140">
            <v>0.5</v>
          </cell>
          <cell r="S140">
            <v>1</v>
          </cell>
          <cell r="U140">
            <v>1</v>
          </cell>
        </row>
        <row r="141">
          <cell r="A141" t="str">
            <v>(-)One-Time Standalone Expenses</v>
          </cell>
          <cell r="M141">
            <v>1.3</v>
          </cell>
          <cell r="O141">
            <v>0</v>
          </cell>
          <cell r="Q141">
            <v>0</v>
          </cell>
          <cell r="S141">
            <v>0</v>
          </cell>
          <cell r="U141">
            <v>0</v>
          </cell>
        </row>
        <row r="142">
          <cell r="A142" t="str">
            <v>(-) TSA</v>
          </cell>
          <cell r="M142">
            <v>1.1332200000000001</v>
          </cell>
          <cell r="O142">
            <v>0</v>
          </cell>
          <cell r="Q142">
            <v>0</v>
          </cell>
          <cell r="S142">
            <v>0</v>
          </cell>
          <cell r="U142">
            <v>0</v>
          </cell>
        </row>
        <row r="143">
          <cell r="A143" t="str">
            <v>(-) Post-Close Consulting Fees</v>
          </cell>
          <cell r="M143">
            <v>3</v>
          </cell>
          <cell r="O143">
            <v>2</v>
          </cell>
          <cell r="Q143">
            <v>0</v>
          </cell>
          <cell r="S143">
            <v>0</v>
          </cell>
          <cell r="U143">
            <v>0</v>
          </cell>
        </row>
        <row r="144">
          <cell r="A144" t="str">
            <v>(-) Total D&amp;A in 2022</v>
          </cell>
          <cell r="M144">
            <v>0</v>
          </cell>
          <cell r="O144">
            <v>0</v>
          </cell>
          <cell r="Q144">
            <v>0</v>
          </cell>
          <cell r="S144">
            <v>0</v>
          </cell>
          <cell r="U144">
            <v>17.129404910095232</v>
          </cell>
        </row>
        <row r="145">
          <cell r="A145" t="str">
            <v xml:space="preserve">EBITDA / EBIT </v>
          </cell>
          <cell r="M145">
            <v>8.5047759445630735</v>
          </cell>
          <cell r="O145">
            <v>13.481997556089841</v>
          </cell>
          <cell r="Q145">
            <v>18.271649233755092</v>
          </cell>
          <cell r="S145">
            <v>22.608376348280125</v>
          </cell>
          <cell r="U145">
            <v>8.3841083382523394</v>
          </cell>
        </row>
        <row r="147">
          <cell r="A147" t="str">
            <v>Interest from Debt Schedule</v>
          </cell>
          <cell r="M147">
            <v>9.5919035254438845E-2</v>
          </cell>
          <cell r="O147">
            <v>0.13706581776937024</v>
          </cell>
          <cell r="Q147">
            <v>0.12151696164375723</v>
          </cell>
          <cell r="S147">
            <v>7.4999999999999997E-2</v>
          </cell>
          <cell r="U147">
            <v>7.4999999999999997E-2</v>
          </cell>
        </row>
        <row r="148">
          <cell r="A148" t="str">
            <v xml:space="preserve">Plus: Deferrred Financing Fees </v>
          </cell>
          <cell r="M148">
            <v>6.4285714285714279E-2</v>
          </cell>
          <cell r="O148">
            <v>6.4285714285714279E-2</v>
          </cell>
          <cell r="Q148">
            <v>6.4285714285714279E-2</v>
          </cell>
          <cell r="S148">
            <v>6.4285714285714279E-2</v>
          </cell>
          <cell r="U148">
            <v>6.4285714285714279E-2</v>
          </cell>
        </row>
        <row r="149">
          <cell r="A149" t="str">
            <v>Total Interest</v>
          </cell>
          <cell r="M149">
            <v>0.16020474954015312</v>
          </cell>
          <cell r="O149">
            <v>0.20135153205508452</v>
          </cell>
          <cell r="Q149">
            <v>0.18580267592947153</v>
          </cell>
          <cell r="S149">
            <v>0.13928571428571429</v>
          </cell>
          <cell r="U149">
            <v>0.13928571428571429</v>
          </cell>
        </row>
        <row r="150">
          <cell r="A150" t="str">
            <v>Max Interest Deductibility</v>
          </cell>
          <cell r="G150">
            <v>0.3</v>
          </cell>
          <cell r="M150">
            <v>2.5514327833689219</v>
          </cell>
          <cell r="O150">
            <v>4.0445992668269524</v>
          </cell>
          <cell r="Q150">
            <v>5.4814947701265275</v>
          </cell>
          <cell r="S150">
            <v>6.7825129044840375</v>
          </cell>
          <cell r="U150">
            <v>2.5152325014757015</v>
          </cell>
        </row>
        <row r="152">
          <cell r="A152" t="str">
            <v>Applicable Interest Deduction:</v>
          </cell>
          <cell r="M152">
            <v>0.16020474954015312</v>
          </cell>
          <cell r="O152">
            <v>0.20135153205508452</v>
          </cell>
          <cell r="Q152">
            <v>0.18580267592947153</v>
          </cell>
          <cell r="S152">
            <v>0.13928571428571429</v>
          </cell>
          <cell r="U152">
            <v>0.13928571428571429</v>
          </cell>
        </row>
        <row r="153">
          <cell r="A153" t="str">
            <v>Excess Interest Carryforward</v>
          </cell>
          <cell r="M153">
            <v>0</v>
          </cell>
          <cell r="O153">
            <v>0</v>
          </cell>
          <cell r="Q153">
            <v>0</v>
          </cell>
          <cell r="S153">
            <v>0</v>
          </cell>
          <cell r="U153">
            <v>0</v>
          </cell>
        </row>
        <row r="155">
          <cell r="A155" t="str">
            <v>Taxable Income Schedule:</v>
          </cell>
        </row>
        <row r="157">
          <cell r="A157" t="str">
            <v xml:space="preserve">EBITDA </v>
          </cell>
          <cell r="M157">
            <v>14.187995944563074</v>
          </cell>
          <cell r="O157">
            <v>15.981997556089841</v>
          </cell>
          <cell r="Q157">
            <v>18.771649233755092</v>
          </cell>
          <cell r="S157">
            <v>23.608376348280125</v>
          </cell>
          <cell r="U157">
            <v>26.513513248347572</v>
          </cell>
        </row>
        <row r="158">
          <cell r="A158" t="str">
            <v>(-) A&amp;M Monitoring Fee</v>
          </cell>
          <cell r="M158">
            <v>0.25</v>
          </cell>
          <cell r="O158">
            <v>0.5</v>
          </cell>
          <cell r="Q158">
            <v>0.5</v>
          </cell>
          <cell r="S158">
            <v>1</v>
          </cell>
          <cell r="U158">
            <v>1</v>
          </cell>
        </row>
        <row r="159">
          <cell r="A159" t="str">
            <v>(-)One-Time Standalone Expenses</v>
          </cell>
          <cell r="M159">
            <v>1.3</v>
          </cell>
          <cell r="O159">
            <v>0</v>
          </cell>
          <cell r="Q159">
            <v>0</v>
          </cell>
          <cell r="S159">
            <v>0</v>
          </cell>
          <cell r="U159">
            <v>0</v>
          </cell>
        </row>
        <row r="160">
          <cell r="A160" t="str">
            <v>(-) TSA</v>
          </cell>
          <cell r="M160">
            <v>1.1332200000000001</v>
          </cell>
          <cell r="O160">
            <v>0</v>
          </cell>
          <cell r="Q160">
            <v>0</v>
          </cell>
          <cell r="S160">
            <v>0</v>
          </cell>
          <cell r="U160">
            <v>0</v>
          </cell>
        </row>
        <row r="161">
          <cell r="A161" t="str">
            <v>(-) Post-Close Consulting Fees</v>
          </cell>
          <cell r="M161">
            <v>3</v>
          </cell>
          <cell r="O161">
            <v>2</v>
          </cell>
          <cell r="Q161">
            <v>0</v>
          </cell>
          <cell r="S161">
            <v>0</v>
          </cell>
          <cell r="U161">
            <v>0</v>
          </cell>
        </row>
        <row r="162">
          <cell r="A162" t="str">
            <v>(-) CapEx (Post-Close)</v>
          </cell>
          <cell r="M162">
            <v>4.2350000000000003</v>
          </cell>
          <cell r="O162">
            <v>11.530999999999999</v>
          </cell>
          <cell r="Q162">
            <v>3.6241200000000005</v>
          </cell>
          <cell r="S162">
            <v>5.7864823999999997</v>
          </cell>
          <cell r="U162">
            <v>8.7462120480000003</v>
          </cell>
        </row>
        <row r="163">
          <cell r="A163" t="str">
            <v>(-) Amortization Goodwill</v>
          </cell>
          <cell r="M163">
            <v>0.35720222666666668</v>
          </cell>
          <cell r="O163">
            <v>0.35720222666666668</v>
          </cell>
          <cell r="Q163">
            <v>0.35720222666666668</v>
          </cell>
          <cell r="S163">
            <v>0.35720222666666668</v>
          </cell>
          <cell r="U163">
            <v>0.35720222666666668</v>
          </cell>
        </row>
        <row r="164">
          <cell r="A164" t="str">
            <v>(-) Applicable Interest Expense</v>
          </cell>
          <cell r="M164">
            <v>0.16020474954015312</v>
          </cell>
          <cell r="O164">
            <v>0.20135153205508452</v>
          </cell>
          <cell r="Q164">
            <v>0.18580267592947153</v>
          </cell>
          <cell r="S164">
            <v>0.13928571428571429</v>
          </cell>
          <cell r="U164">
            <v>0.13928571428571429</v>
          </cell>
        </row>
        <row r="165">
          <cell r="A165" t="str">
            <v>(-) CapEx (At-Close)</v>
          </cell>
          <cell r="G165">
            <v>19.949338789999999</v>
          </cell>
          <cell r="M165">
            <v>3.7523689683562531</v>
          </cell>
          <cell r="O165">
            <v>1.3924437973680905</v>
          </cell>
          <cell r="Q165">
            <v>14.104524331158952</v>
          </cell>
          <cell r="S165">
            <v>0.7000016931167039</v>
          </cell>
          <cell r="U165">
            <v>0</v>
          </cell>
        </row>
        <row r="166">
          <cell r="A166" t="str">
            <v>Taxable Income</v>
          </cell>
          <cell r="M166">
            <v>0</v>
          </cell>
          <cell r="O166">
            <v>0</v>
          </cell>
          <cell r="Q166">
            <v>0</v>
          </cell>
          <cell r="S166">
            <v>15.625404314211039</v>
          </cell>
          <cell r="U166">
            <v>16.27081325939519</v>
          </cell>
        </row>
        <row r="167">
          <cell r="A167" t="str">
            <v>Applicable Taxes</v>
          </cell>
          <cell r="G167">
            <v>0.26</v>
          </cell>
          <cell r="M167">
            <v>0</v>
          </cell>
          <cell r="O167">
            <v>0</v>
          </cell>
          <cell r="Q167">
            <v>0</v>
          </cell>
          <cell r="S167">
            <v>4.0626051216948706</v>
          </cell>
          <cell r="U167">
            <v>4.2304114474427497</v>
          </cell>
        </row>
        <row r="169">
          <cell r="A169" t="str">
            <v>CASH FLOW STATEMENT</v>
          </cell>
        </row>
        <row r="171">
          <cell r="A171" t="str">
            <v>Cash Flow</v>
          </cell>
          <cell r="M171">
            <v>43465</v>
          </cell>
          <cell r="O171">
            <v>43830</v>
          </cell>
          <cell r="Q171">
            <v>44196</v>
          </cell>
          <cell r="S171">
            <v>44561</v>
          </cell>
          <cell r="U171">
            <v>44926</v>
          </cell>
        </row>
        <row r="172">
          <cell r="A172" t="str">
            <v>Net Income</v>
          </cell>
          <cell r="M172">
            <v>1.9281669539723003</v>
          </cell>
          <cell r="O172">
            <v>4.6408803687113434</v>
          </cell>
          <cell r="Q172">
            <v>13.435507188301813</v>
          </cell>
          <cell r="S172">
            <v>9.4538576856328724</v>
          </cell>
          <cell r="U172">
            <v>4.0786968908095904</v>
          </cell>
        </row>
        <row r="173">
          <cell r="A173" t="str">
            <v>Depreciation &amp; Amortization</v>
          </cell>
          <cell r="M173">
            <v>6.4806899553363344</v>
          </cell>
          <cell r="O173">
            <v>8.7040513696091271</v>
          </cell>
          <cell r="Q173">
            <v>4.7146250838095236</v>
          </cell>
          <cell r="S173">
            <v>9.0169135409523822</v>
          </cell>
          <cell r="U173">
            <v>17.129404910095232</v>
          </cell>
        </row>
        <row r="174">
          <cell r="A174" t="str">
            <v>Change in WC</v>
          </cell>
          <cell r="M174">
            <v>-4.7715436308640307</v>
          </cell>
          <cell r="O174">
            <v>-2.3399788407476159</v>
          </cell>
          <cell r="Q174">
            <v>-3.2015464206144983</v>
          </cell>
          <cell r="S174">
            <v>-5.9667289192696025</v>
          </cell>
          <cell r="U174">
            <v>-3.3087557056491157</v>
          </cell>
        </row>
        <row r="175">
          <cell r="A175" t="str">
            <v>Cash Flow from Operations</v>
          </cell>
          <cell r="M175">
            <v>3.6373132784446049</v>
          </cell>
          <cell r="O175">
            <v>11.004952897572855</v>
          </cell>
          <cell r="Q175">
            <v>14.948585851496837</v>
          </cell>
          <cell r="S175">
            <v>12.504042307315654</v>
          </cell>
          <cell r="U175">
            <v>17.899346095255705</v>
          </cell>
        </row>
        <row r="176">
          <cell r="M176"/>
        </row>
        <row r="177">
          <cell r="A177" t="str">
            <v>Capital Expenditures</v>
          </cell>
          <cell r="M177">
            <v>-4.2350000000000003</v>
          </cell>
          <cell r="O177">
            <v>-11.530999999999999</v>
          </cell>
          <cell r="Q177">
            <v>-3.6241200000000005</v>
          </cell>
          <cell r="S177">
            <v>-5.7864823999999997</v>
          </cell>
          <cell r="U177">
            <v>-8.7462120480000003</v>
          </cell>
        </row>
        <row r="178">
          <cell r="A178" t="str">
            <v>Cash Flow after Investments</v>
          </cell>
          <cell r="M178">
            <v>-4.2350000000000003</v>
          </cell>
          <cell r="O178">
            <v>-11.530999999999999</v>
          </cell>
          <cell r="Q178">
            <v>-3.6241200000000005</v>
          </cell>
          <cell r="S178">
            <v>-5.7864823999999997</v>
          </cell>
          <cell r="U178">
            <v>-8.7462120480000003</v>
          </cell>
        </row>
        <row r="180">
          <cell r="A180" t="str">
            <v>Cash Flows Available for Debt Service</v>
          </cell>
          <cell r="M180">
            <v>-0.59768672155539537</v>
          </cell>
          <cell r="O180">
            <v>-0.52604710242714425</v>
          </cell>
          <cell r="Q180">
            <v>11.324465851496836</v>
          </cell>
          <cell r="S180">
            <v>6.7175599073156542</v>
          </cell>
          <cell r="U180">
            <v>9.1531340472557048</v>
          </cell>
        </row>
        <row r="182">
          <cell r="A182" t="str">
            <v>Optional Repayment</v>
          </cell>
        </row>
        <row r="183">
          <cell r="A183" t="str">
            <v>Revolver</v>
          </cell>
          <cell r="M183">
            <v>0.59768672155539537</v>
          </cell>
          <cell r="O183">
            <v>0.52604710242714425</v>
          </cell>
          <cell r="Q183">
            <v>-1.1237338239825396</v>
          </cell>
          <cell r="S183">
            <v>0</v>
          </cell>
          <cell r="U183">
            <v>0</v>
          </cell>
        </row>
        <row r="184">
          <cell r="A184" t="str">
            <v>Total Optional Repayment</v>
          </cell>
          <cell r="M184">
            <v>0.59768672155539537</v>
          </cell>
          <cell r="O184">
            <v>0.52604710242714425</v>
          </cell>
          <cell r="Q184">
            <v>-1.1237338239825396</v>
          </cell>
          <cell r="S184">
            <v>0</v>
          </cell>
          <cell r="U184">
            <v>0</v>
          </cell>
        </row>
        <row r="185">
          <cell r="A185" t="str">
            <v>Cash Flow after Financing</v>
          </cell>
          <cell r="M185">
            <v>0</v>
          </cell>
          <cell r="O185">
            <v>0</v>
          </cell>
          <cell r="Q185">
            <v>10.200732027514295</v>
          </cell>
          <cell r="S185">
            <v>6.7175599073156542</v>
          </cell>
          <cell r="U185">
            <v>9.1531340472557048</v>
          </cell>
        </row>
        <row r="188">
          <cell r="A188" t="str">
            <v>Balance Sheet</v>
          </cell>
        </row>
        <row r="190">
          <cell r="E190" t="str">
            <v>FY</v>
          </cell>
          <cell r="G190" t="str">
            <v>FY</v>
          </cell>
          <cell r="I190" t="str">
            <v>Trans.</v>
          </cell>
          <cell r="K190" t="str">
            <v>Post-Trans.</v>
          </cell>
        </row>
        <row r="191">
          <cell r="E191">
            <v>42674</v>
          </cell>
          <cell r="G191">
            <v>43039</v>
          </cell>
          <cell r="I191" t="str">
            <v>Adj.</v>
          </cell>
          <cell r="K191">
            <v>43100</v>
          </cell>
          <cell r="M191">
            <v>43465</v>
          </cell>
          <cell r="O191">
            <v>43830</v>
          </cell>
          <cell r="Q191">
            <v>44196</v>
          </cell>
          <cell r="S191">
            <v>44561</v>
          </cell>
          <cell r="U191">
            <v>44926</v>
          </cell>
        </row>
        <row r="192">
          <cell r="A192" t="str">
            <v>Current Assets</v>
          </cell>
        </row>
        <row r="193">
          <cell r="A193" t="str">
            <v>Cash and equivalents</v>
          </cell>
          <cell r="E193">
            <v>3.7897674299999999</v>
          </cell>
          <cell r="G193">
            <v>2.3538741600000002</v>
          </cell>
          <cell r="I193">
            <v>0.64612583999999984</v>
          </cell>
          <cell r="K193">
            <v>3</v>
          </cell>
          <cell r="M193">
            <v>3</v>
          </cell>
          <cell r="O193">
            <v>3</v>
          </cell>
          <cell r="Q193">
            <v>13.200732027514295</v>
          </cell>
          <cell r="S193">
            <v>19.918291934829949</v>
          </cell>
          <cell r="U193">
            <v>29.071425982085653</v>
          </cell>
        </row>
        <row r="194">
          <cell r="A194" t="str">
            <v>Assets Whose Use Is Limited</v>
          </cell>
          <cell r="E194">
            <v>4.9033443400000003</v>
          </cell>
          <cell r="G194">
            <v>4.3172268999999996</v>
          </cell>
          <cell r="I194">
            <v>0</v>
          </cell>
          <cell r="K194">
            <v>4.3172268999999996</v>
          </cell>
          <cell r="M194">
            <v>5.2053007062271019</v>
          </cell>
          <cell r="O194">
            <v>5.8079954183873905</v>
          </cell>
          <cell r="Q194">
            <v>6.6325990707108309</v>
          </cell>
          <cell r="S194">
            <v>8.1694146631923044</v>
          </cell>
          <cell r="U194">
            <v>9.0216315862255829</v>
          </cell>
        </row>
        <row r="195">
          <cell r="A195" t="str">
            <v>Accounts receivable, net</v>
          </cell>
          <cell r="E195">
            <v>20.051679440000001</v>
          </cell>
          <cell r="G195">
            <v>13.77836484</v>
          </cell>
          <cell r="I195">
            <v>0</v>
          </cell>
          <cell r="K195">
            <v>13.77836484</v>
          </cell>
          <cell r="M195">
            <v>19.191278687468426</v>
          </cell>
          <cell r="O195">
            <v>21.413337092412196</v>
          </cell>
          <cell r="Q195">
            <v>24.453545409198156</v>
          </cell>
          <cell r="S195">
            <v>30.119588158904399</v>
          </cell>
          <cell r="U195">
            <v>33.261603076994113</v>
          </cell>
        </row>
        <row r="196">
          <cell r="A196" t="str">
            <v>Inventory</v>
          </cell>
          <cell r="E196">
            <v>0.30898407</v>
          </cell>
          <cell r="G196">
            <v>0.33262145999999998</v>
          </cell>
          <cell r="I196">
            <v>0</v>
          </cell>
          <cell r="K196">
            <v>0.33262145999999998</v>
          </cell>
          <cell r="M196">
            <v>0.36075068814877531</v>
          </cell>
          <cell r="O196">
            <v>0.40252013518482255</v>
          </cell>
          <cell r="Q196">
            <v>0.4596688671821505</v>
          </cell>
          <cell r="S196">
            <v>0.56617708137277778</v>
          </cell>
          <cell r="U196">
            <v>0.62523953689403122</v>
          </cell>
        </row>
        <row r="197">
          <cell r="A197" t="str">
            <v>Prepaid expenses and other</v>
          </cell>
          <cell r="E197">
            <v>1.4493971099999996</v>
          </cell>
          <cell r="G197">
            <v>2.4426560999999998</v>
          </cell>
          <cell r="I197">
            <v>0</v>
          </cell>
          <cell r="K197">
            <v>2.4426560999999998</v>
          </cell>
          <cell r="M197">
            <v>2.1691514290318294</v>
          </cell>
          <cell r="O197">
            <v>2.420306197975044</v>
          </cell>
          <cell r="Q197">
            <v>2.7639347973146449</v>
          </cell>
          <cell r="S197">
            <v>3.4043561536834743</v>
          </cell>
          <cell r="U197">
            <v>3.7594917473353995</v>
          </cell>
        </row>
        <row r="198">
          <cell r="A198" t="str">
            <v>Total Current Assets</v>
          </cell>
          <cell r="E198">
            <v>30.503172390000003</v>
          </cell>
          <cell r="G198">
            <v>23.224743459999999</v>
          </cell>
          <cell r="K198">
            <v>23.870869299999999</v>
          </cell>
          <cell r="M198">
            <v>29.926481510876133</v>
          </cell>
          <cell r="O198">
            <v>33.044158843959451</v>
          </cell>
          <cell r="Q198">
            <v>47.510480171920086</v>
          </cell>
          <cell r="S198">
            <v>62.177827991982902</v>
          </cell>
          <cell r="U198">
            <v>75.73939192953479</v>
          </cell>
        </row>
        <row r="200">
          <cell r="A200" t="str">
            <v xml:space="preserve">Property and equipment, net </v>
          </cell>
          <cell r="E200">
            <v>11.03068433</v>
          </cell>
          <cell r="G200">
            <v>9.9493387900000005</v>
          </cell>
          <cell r="I200">
            <v>10</v>
          </cell>
          <cell r="K200">
            <v>19.949338789999999</v>
          </cell>
          <cell r="M200">
            <v>18.125136775616046</v>
          </cell>
          <cell r="O200">
            <v>21.373573346959297</v>
          </cell>
          <cell r="Q200">
            <v>20.704556204102154</v>
          </cell>
          <cell r="S200">
            <v>17.895613004102152</v>
          </cell>
          <cell r="U200">
            <v>9.9339080829592987</v>
          </cell>
        </row>
        <row r="201">
          <cell r="A201" t="str">
            <v>Goodwill</v>
          </cell>
          <cell r="E201">
            <v>0</v>
          </cell>
          <cell r="G201">
            <v>0</v>
          </cell>
          <cell r="I201">
            <v>5.3580334000000001</v>
          </cell>
          <cell r="K201">
            <v>5.3580334000000001</v>
          </cell>
          <cell r="M201">
            <v>5.0008311733333333</v>
          </cell>
          <cell r="O201">
            <v>4.6436289466666665</v>
          </cell>
          <cell r="Q201">
            <v>4.2864267199999997</v>
          </cell>
          <cell r="S201">
            <v>3.9292244933333329</v>
          </cell>
          <cell r="U201">
            <v>3.5720222666666661</v>
          </cell>
        </row>
        <row r="202">
          <cell r="A202" t="str">
            <v>Deferred Transaction Expenses</v>
          </cell>
          <cell r="E202">
            <v>0</v>
          </cell>
          <cell r="G202">
            <v>0</v>
          </cell>
          <cell r="I202">
            <v>0.44999999999999996</v>
          </cell>
          <cell r="K202">
            <v>0.44999999999999996</v>
          </cell>
          <cell r="M202">
            <v>0.38571428571428568</v>
          </cell>
          <cell r="O202">
            <v>0.3214285714285714</v>
          </cell>
          <cell r="Q202">
            <v>0.25714285714285712</v>
          </cell>
          <cell r="S202">
            <v>0.19285714285714284</v>
          </cell>
          <cell r="U202">
            <v>0.12857142857142856</v>
          </cell>
        </row>
        <row r="203">
          <cell r="A203" t="str">
            <v>Intangible assets</v>
          </cell>
          <cell r="E203">
            <v>0</v>
          </cell>
          <cell r="G203">
            <v>0</v>
          </cell>
          <cell r="I203">
            <v>0</v>
          </cell>
          <cell r="K203">
            <v>0</v>
          </cell>
          <cell r="M203">
            <v>0</v>
          </cell>
          <cell r="O203">
            <v>0</v>
          </cell>
          <cell r="Q203">
            <v>0</v>
          </cell>
          <cell r="S203">
            <v>0</v>
          </cell>
          <cell r="U203">
            <v>0</v>
          </cell>
        </row>
        <row r="204">
          <cell r="A204" t="str">
            <v>Total Assets</v>
          </cell>
          <cell r="E204">
            <v>41.533856720000003</v>
          </cell>
          <cell r="G204">
            <v>33.174082249999998</v>
          </cell>
          <cell r="K204">
            <v>49.628241489999994</v>
          </cell>
          <cell r="M204">
            <v>53.438163745539796</v>
          </cell>
          <cell r="O204">
            <v>59.382789709013991</v>
          </cell>
          <cell r="Q204">
            <v>72.758605953165102</v>
          </cell>
          <cell r="S204">
            <v>84.195522632275527</v>
          </cell>
          <cell r="U204">
            <v>89.373893707732179</v>
          </cell>
        </row>
        <row r="207">
          <cell r="A207" t="str">
            <v>Current Liabilities</v>
          </cell>
        </row>
        <row r="208">
          <cell r="A208" t="str">
            <v>Accounts payable</v>
          </cell>
          <cell r="E208">
            <v>3.2933055100000002</v>
          </cell>
          <cell r="G208">
            <v>1.8085345900000001</v>
          </cell>
          <cell r="I208">
            <v>0</v>
          </cell>
          <cell r="K208">
            <v>1.8085345900000001</v>
          </cell>
          <cell r="M208">
            <v>2.9063703634819613</v>
          </cell>
          <cell r="O208">
            <v>3.2428838808575184</v>
          </cell>
          <cell r="Q208">
            <v>3.7032998591053792</v>
          </cell>
          <cell r="S208">
            <v>4.5613781036113661</v>
          </cell>
          <cell r="U208">
            <v>5.0372119023002</v>
          </cell>
        </row>
        <row r="209">
          <cell r="A209" t="str">
            <v>Accrued Liabilities</v>
          </cell>
          <cell r="E209">
            <v>3.1612852500000002</v>
          </cell>
          <cell r="G209">
            <v>3.6241547999999999</v>
          </cell>
          <cell r="I209">
            <v>0</v>
          </cell>
          <cell r="K209">
            <v>3.6241547999999999</v>
          </cell>
          <cell r="M209">
            <v>3.8103876065301434</v>
          </cell>
          <cell r="O209">
            <v>4.2515725814902865</v>
          </cell>
          <cell r="Q209">
            <v>4.8551994830742586</v>
          </cell>
          <cell r="S209">
            <v>5.9801802320458437</v>
          </cell>
          <cell r="U209">
            <v>6.6040206180040535</v>
          </cell>
        </row>
        <row r="210">
          <cell r="A210" t="str">
            <v>Capital Leases (Short-term)</v>
          </cell>
          <cell r="E210">
            <v>0.29677928999999997</v>
          </cell>
          <cell r="G210">
            <v>0.31837822999999998</v>
          </cell>
          <cell r="I210">
            <v>0</v>
          </cell>
          <cell r="K210">
            <v>0.31837822999999998</v>
          </cell>
          <cell r="M210">
            <v>0.31837822999999998</v>
          </cell>
          <cell r="O210">
            <v>0.31837822999999998</v>
          </cell>
          <cell r="Q210">
            <v>0.31837822999999998</v>
          </cell>
          <cell r="S210">
            <v>0.31837822999999998</v>
          </cell>
          <cell r="U210">
            <v>0.31837822999999998</v>
          </cell>
        </row>
        <row r="211">
          <cell r="A211" t="str">
            <v>Deferred Revenue</v>
          </cell>
          <cell r="E211">
            <v>0</v>
          </cell>
          <cell r="G211">
            <v>0</v>
          </cell>
          <cell r="I211">
            <v>0</v>
          </cell>
          <cell r="K211">
            <v>0</v>
          </cell>
          <cell r="M211">
            <v>0</v>
          </cell>
          <cell r="O211">
            <v>0</v>
          </cell>
          <cell r="Q211">
            <v>0</v>
          </cell>
          <cell r="S211">
            <v>0</v>
          </cell>
          <cell r="U211">
            <v>0</v>
          </cell>
        </row>
        <row r="212">
          <cell r="A212" t="str">
            <v>Total Current Liabilities</v>
          </cell>
          <cell r="E212">
            <v>6.7513700500000002</v>
          </cell>
          <cell r="G212">
            <v>5.7510676200000006</v>
          </cell>
          <cell r="K212">
            <v>5.7510676200000006</v>
          </cell>
          <cell r="M212">
            <v>7.0351362000121043</v>
          </cell>
          <cell r="O212">
            <v>7.8128346923478045</v>
          </cell>
          <cell r="Q212">
            <v>8.8768775721796374</v>
          </cell>
          <cell r="S212">
            <v>10.859936565657211</v>
          </cell>
          <cell r="U212">
            <v>11.959610750304254</v>
          </cell>
        </row>
        <row r="214">
          <cell r="A214" t="str">
            <v>Due to Affiliates</v>
          </cell>
          <cell r="E214">
            <v>19.670881090000002</v>
          </cell>
          <cell r="G214">
            <v>14.71453185</v>
          </cell>
          <cell r="I214">
            <v>-14.71453185</v>
          </cell>
          <cell r="K214">
            <v>0</v>
          </cell>
          <cell r="M214">
            <v>0</v>
          </cell>
          <cell r="O214">
            <v>0</v>
          </cell>
          <cell r="Q214">
            <v>0</v>
          </cell>
          <cell r="S214">
            <v>0</v>
          </cell>
          <cell r="U214">
            <v>0</v>
          </cell>
        </row>
        <row r="215">
          <cell r="A215" t="str">
            <v>Capital Leases (Long-term)</v>
          </cell>
          <cell r="E215">
            <v>0.45778054000000001</v>
          </cell>
          <cell r="G215">
            <v>0.13940227999999999</v>
          </cell>
          <cell r="I215">
            <v>0</v>
          </cell>
          <cell r="K215">
            <v>0.13940227999999999</v>
          </cell>
          <cell r="M215">
            <v>0.13940227999999999</v>
          </cell>
          <cell r="O215">
            <v>0.13940227999999999</v>
          </cell>
          <cell r="Q215">
            <v>0.13940227999999999</v>
          </cell>
          <cell r="S215">
            <v>0.13940227999999999</v>
          </cell>
          <cell r="U215">
            <v>0.13940227999999999</v>
          </cell>
        </row>
        <row r="216">
          <cell r="A216" t="str">
            <v>Other Non-Current Liabilities</v>
          </cell>
          <cell r="E216">
            <v>0.84448939000000001</v>
          </cell>
          <cell r="G216">
            <v>0.45777773999999999</v>
          </cell>
          <cell r="I216">
            <v>0</v>
          </cell>
          <cell r="K216">
            <v>0.45777773999999999</v>
          </cell>
          <cell r="M216">
            <v>0.45777773999999999</v>
          </cell>
          <cell r="O216">
            <v>0.45777773999999999</v>
          </cell>
          <cell r="Q216">
            <v>0.45777773999999999</v>
          </cell>
          <cell r="S216">
            <v>0.45777773999999999</v>
          </cell>
          <cell r="U216">
            <v>0.45777773999999999</v>
          </cell>
        </row>
        <row r="218">
          <cell r="A218" t="str">
            <v>Long-term debt</v>
          </cell>
          <cell r="E218">
            <v>0</v>
          </cell>
          <cell r="G218">
            <v>0</v>
          </cell>
          <cell r="I218">
            <v>0</v>
          </cell>
          <cell r="K218">
            <v>0</v>
          </cell>
          <cell r="M218">
            <v>0</v>
          </cell>
          <cell r="O218">
            <v>0</v>
          </cell>
          <cell r="Q218">
            <v>0</v>
          </cell>
          <cell r="S218">
            <v>0</v>
          </cell>
          <cell r="U218">
            <v>0</v>
          </cell>
        </row>
        <row r="219">
          <cell r="A219" t="str">
            <v>Revolver</v>
          </cell>
          <cell r="E219">
            <v>0</v>
          </cell>
          <cell r="G219">
            <v>0</v>
          </cell>
          <cell r="I219">
            <v>0</v>
          </cell>
          <cell r="K219">
            <v>0</v>
          </cell>
          <cell r="M219">
            <v>0.59768672155539537</v>
          </cell>
          <cell r="O219">
            <v>1.1237338239825396</v>
          </cell>
          <cell r="Q219">
            <v>0</v>
          </cell>
          <cell r="S219">
            <v>0</v>
          </cell>
          <cell r="U219">
            <v>0</v>
          </cell>
        </row>
        <row r="220">
          <cell r="A220" t="str">
            <v>Other liabilities</v>
          </cell>
          <cell r="E220">
            <v>0</v>
          </cell>
          <cell r="G220">
            <v>0</v>
          </cell>
          <cell r="I220">
            <v>0</v>
          </cell>
          <cell r="K220">
            <v>0</v>
          </cell>
          <cell r="M220">
            <v>0</v>
          </cell>
          <cell r="O220">
            <v>0</v>
          </cell>
          <cell r="Q220">
            <v>0</v>
          </cell>
          <cell r="S220">
            <v>0</v>
          </cell>
          <cell r="U220">
            <v>0</v>
          </cell>
        </row>
        <row r="221">
          <cell r="A221" t="str">
            <v>Total Liabilities</v>
          </cell>
          <cell r="E221">
            <v>27.724521070000002</v>
          </cell>
          <cell r="G221">
            <v>21.06277949</v>
          </cell>
          <cell r="K221">
            <v>6.3482476400000003</v>
          </cell>
          <cell r="M221">
            <v>8.2300029415675002</v>
          </cell>
          <cell r="O221">
            <v>9.5337485363303447</v>
          </cell>
          <cell r="Q221">
            <v>9.4740575921796371</v>
          </cell>
          <cell r="S221">
            <v>11.457116585657211</v>
          </cell>
          <cell r="U221">
            <v>12.556790770304254</v>
          </cell>
        </row>
        <row r="223">
          <cell r="A223" t="str">
            <v>Total Equity</v>
          </cell>
          <cell r="E223">
            <v>13.809335650000001</v>
          </cell>
          <cell r="G223">
            <v>12.111302759999999</v>
          </cell>
          <cell r="I223">
            <v>31.168691090000003</v>
          </cell>
          <cell r="K223">
            <v>43.279993850000004</v>
          </cell>
          <cell r="M223">
            <v>45.208160803972305</v>
          </cell>
          <cell r="O223">
            <v>49.849041172683648</v>
          </cell>
          <cell r="Q223">
            <v>63.284548360985461</v>
          </cell>
          <cell r="S223">
            <v>72.738406046618337</v>
          </cell>
          <cell r="U223">
            <v>76.817102937427933</v>
          </cell>
        </row>
        <row r="224">
          <cell r="A224" t="str">
            <v>Total Shareholder Equity</v>
          </cell>
          <cell r="E224">
            <v>13.809335650000001</v>
          </cell>
          <cell r="G224">
            <v>12.111302759999999</v>
          </cell>
          <cell r="K224">
            <v>43.279993850000004</v>
          </cell>
          <cell r="M224">
            <v>45.208160803972305</v>
          </cell>
          <cell r="O224">
            <v>49.849041172683648</v>
          </cell>
          <cell r="Q224">
            <v>63.284548360985461</v>
          </cell>
          <cell r="S224">
            <v>72.738406046618337</v>
          </cell>
          <cell r="U224">
            <v>76.817102937427933</v>
          </cell>
        </row>
        <row r="226">
          <cell r="A226" t="str">
            <v>Total Liabilities and SE</v>
          </cell>
          <cell r="E226">
            <v>41.533856720000003</v>
          </cell>
          <cell r="G226">
            <v>33.174082249999998</v>
          </cell>
          <cell r="K226">
            <v>49.628241490000008</v>
          </cell>
          <cell r="M226">
            <v>53.438163745539804</v>
          </cell>
          <cell r="O226">
            <v>59.382789709013991</v>
          </cell>
          <cell r="Q226">
            <v>72.758605953165102</v>
          </cell>
          <cell r="S226">
            <v>84.195522632275555</v>
          </cell>
          <cell r="U226">
            <v>89.373893707732179</v>
          </cell>
        </row>
        <row r="227">
          <cell r="A227" t="str">
            <v>Check</v>
          </cell>
          <cell r="E227">
            <v>0</v>
          </cell>
          <cell r="G227">
            <v>0</v>
          </cell>
          <cell r="K227">
            <v>0</v>
          </cell>
          <cell r="M227">
            <v>0</v>
          </cell>
          <cell r="O227">
            <v>0</v>
          </cell>
          <cell r="Q227">
            <v>0</v>
          </cell>
          <cell r="S227">
            <v>0</v>
          </cell>
          <cell r="U227">
            <v>0</v>
          </cell>
        </row>
        <row r="231">
          <cell r="A231" t="str">
            <v>Memo: Working Capital Calculation</v>
          </cell>
          <cell r="E231">
            <v>42674</v>
          </cell>
          <cell r="G231">
            <v>43039</v>
          </cell>
          <cell r="M231">
            <v>43465</v>
          </cell>
          <cell r="O231">
            <v>43830</v>
          </cell>
          <cell r="Q231">
            <v>44196</v>
          </cell>
          <cell r="S231">
            <v>44561</v>
          </cell>
          <cell r="U231">
            <v>44926</v>
          </cell>
        </row>
        <row r="232">
          <cell r="A232" t="str">
            <v>Accounts receivable, net</v>
          </cell>
          <cell r="E232">
            <v>20.051679440000001</v>
          </cell>
          <cell r="G232">
            <v>13.77836484</v>
          </cell>
          <cell r="M232">
            <v>19.191278687468426</v>
          </cell>
          <cell r="O232">
            <v>21.413337092412196</v>
          </cell>
          <cell r="Q232">
            <v>24.453545409198156</v>
          </cell>
          <cell r="S232">
            <v>30.119588158904399</v>
          </cell>
          <cell r="U232">
            <v>33.261603076994113</v>
          </cell>
        </row>
        <row r="233">
          <cell r="A233" t="str">
            <v>DSO (Sales)</v>
          </cell>
          <cell r="E233">
            <v>57.812546477984263</v>
          </cell>
          <cell r="G233">
            <v>36.660216780594837</v>
          </cell>
          <cell r="M233">
            <v>47.236381629289554</v>
          </cell>
          <cell r="O233">
            <v>47.236381629289554</v>
          </cell>
          <cell r="Q233">
            <v>47.236381629289554</v>
          </cell>
          <cell r="S233">
            <v>47.236381629289554</v>
          </cell>
          <cell r="U233">
            <v>47.236381629289554</v>
          </cell>
        </row>
        <row r="234">
          <cell r="A234" t="str">
            <v xml:space="preserve">Assets Limited Use </v>
          </cell>
          <cell r="E234">
            <v>4.9033443400000003</v>
          </cell>
          <cell r="G234">
            <v>4.3172268999999996</v>
          </cell>
          <cell r="M234">
            <v>5.2053007062271019</v>
          </cell>
          <cell r="O234">
            <v>5.8079954183873905</v>
          </cell>
          <cell r="Q234">
            <v>6.6325990707108309</v>
          </cell>
          <cell r="S234">
            <v>8.1694146631923044</v>
          </cell>
          <cell r="U234">
            <v>9.0216315862255829</v>
          </cell>
        </row>
        <row r="235">
          <cell r="A235" t="str">
            <v xml:space="preserve">% of Sales </v>
          </cell>
          <cell r="E235">
            <v>3.8732084850369823E-2</v>
          </cell>
          <cell r="G235">
            <v>3.1470914157447384E-2</v>
          </cell>
          <cell r="M235">
            <v>3.5101499503908604E-2</v>
          </cell>
          <cell r="O235">
            <v>3.5101499503908604E-2</v>
          </cell>
          <cell r="Q235">
            <v>3.5101499503908604E-2</v>
          </cell>
          <cell r="S235">
            <v>3.5101499503908604E-2</v>
          </cell>
          <cell r="U235">
            <v>3.5101499503908604E-2</v>
          </cell>
        </row>
        <row r="236">
          <cell r="A236" t="str">
            <v>Inventory</v>
          </cell>
          <cell r="E236">
            <v>0.30898407</v>
          </cell>
          <cell r="G236">
            <v>0.33262145999999998</v>
          </cell>
          <cell r="M236">
            <v>0.36075068814877531</v>
          </cell>
          <cell r="O236">
            <v>0.40252013518482255</v>
          </cell>
          <cell r="Q236">
            <v>0.4596688671821505</v>
          </cell>
          <cell r="S236">
            <v>0.56617708137277778</v>
          </cell>
          <cell r="U236">
            <v>0.62523953689403122</v>
          </cell>
        </row>
        <row r="237">
          <cell r="A237" t="str">
            <v xml:space="preserve">% of Sales </v>
          </cell>
          <cell r="E237">
            <v>2.4407009556772444E-3</v>
          </cell>
          <cell r="G237">
            <v>2.4246817823230047E-3</v>
          </cell>
          <cell r="M237">
            <v>2.4326913690001246E-3</v>
          </cell>
          <cell r="O237">
            <v>2.4326913690001246E-3</v>
          </cell>
          <cell r="Q237">
            <v>2.4326913690001246E-3</v>
          </cell>
          <cell r="S237">
            <v>2.4326913690001246E-3</v>
          </cell>
          <cell r="U237">
            <v>2.4326913690001246E-3</v>
          </cell>
        </row>
        <row r="238">
          <cell r="A238" t="str">
            <v xml:space="preserve">Prepaid Expenses and Other </v>
          </cell>
          <cell r="E238">
            <v>1.4493971099999996</v>
          </cell>
          <cell r="G238">
            <v>2.4426560999999998</v>
          </cell>
          <cell r="M238">
            <v>2.1691514290318294</v>
          </cell>
          <cell r="O238">
            <v>2.420306197975044</v>
          </cell>
          <cell r="Q238">
            <v>2.7639347973146449</v>
          </cell>
          <cell r="S238">
            <v>3.4043561536834743</v>
          </cell>
          <cell r="U238">
            <v>3.7594917473353995</v>
          </cell>
        </row>
        <row r="239">
          <cell r="A239" t="str">
            <v>% Sales</v>
          </cell>
          <cell r="E239">
            <v>1.1448955642058943E-2</v>
          </cell>
          <cell r="G239">
            <v>1.7806018126882612E-2</v>
          </cell>
          <cell r="M239">
            <v>1.4627486884470776E-2</v>
          </cell>
          <cell r="O239">
            <v>1.4627486884470776E-2</v>
          </cell>
          <cell r="Q239">
            <v>1.4627486884470776E-2</v>
          </cell>
          <cell r="S239">
            <v>1.4627486884470776E-2</v>
          </cell>
          <cell r="U239">
            <v>1.4627486884470776E-2</v>
          </cell>
        </row>
        <row r="240">
          <cell r="A240" t="str">
            <v>Trade &amp; Other Payable</v>
          </cell>
          <cell r="E240">
            <v>3.2933055100000002</v>
          </cell>
          <cell r="G240">
            <v>1.8085345900000001</v>
          </cell>
          <cell r="M240">
            <v>2.9063703634819613</v>
          </cell>
          <cell r="O240">
            <v>3.2428838808575184</v>
          </cell>
          <cell r="Q240">
            <v>3.7032998591053792</v>
          </cell>
          <cell r="S240">
            <v>4.5613781036113661</v>
          </cell>
          <cell r="U240">
            <v>5.0372119023002</v>
          </cell>
        </row>
        <row r="241">
          <cell r="A241" t="str">
            <v xml:space="preserve">% of Sales </v>
          </cell>
          <cell r="E241">
            <v>2.6014201656396511E-2</v>
          </cell>
          <cell r="G241">
            <v>1.3183517603085516E-2</v>
          </cell>
          <cell r="M241">
            <v>1.9598859629741013E-2</v>
          </cell>
          <cell r="O241">
            <v>1.9598859629741013E-2</v>
          </cell>
          <cell r="Q241">
            <v>1.9598859629741013E-2</v>
          </cell>
          <cell r="S241">
            <v>1.9598859629741013E-2</v>
          </cell>
          <cell r="U241">
            <v>1.9598859629741013E-2</v>
          </cell>
        </row>
        <row r="242">
          <cell r="A242" t="str">
            <v>Accrued Liabilities</v>
          </cell>
          <cell r="E242">
            <v>3.1612852500000002</v>
          </cell>
          <cell r="G242">
            <v>3.6241547999999999</v>
          </cell>
          <cell r="M242">
            <v>3.8103876065301434</v>
          </cell>
          <cell r="O242">
            <v>4.2515725814902865</v>
          </cell>
          <cell r="Q242">
            <v>4.8551994830742586</v>
          </cell>
          <cell r="S242">
            <v>5.9801802320458437</v>
          </cell>
          <cell r="U242">
            <v>6.6040206180040535</v>
          </cell>
        </row>
        <row r="243">
          <cell r="A243" t="str">
            <v>% Sales</v>
          </cell>
          <cell r="E243">
            <v>2.4971358331979308E-2</v>
          </cell>
          <cell r="G243">
            <v>2.6418686635187257E-2</v>
          </cell>
          <cell r="M243">
            <v>2.5695022483583282E-2</v>
          </cell>
          <cell r="O243">
            <v>2.5695022483583282E-2</v>
          </cell>
          <cell r="Q243">
            <v>2.5695022483583282E-2</v>
          </cell>
          <cell r="S243">
            <v>2.5695022483583282E-2</v>
          </cell>
          <cell r="U243">
            <v>2.5695022483583282E-2</v>
          </cell>
        </row>
        <row r="244">
          <cell r="A244" t="str">
            <v>Total Working Capital</v>
          </cell>
          <cell r="E244">
            <v>20.258814200000003</v>
          </cell>
          <cell r="G244">
            <v>15.438179909999999</v>
          </cell>
          <cell r="M244">
            <v>20.209723540864029</v>
          </cell>
          <cell r="O244">
            <v>22.549702381611645</v>
          </cell>
          <cell r="Q244">
            <v>25.751248802226144</v>
          </cell>
          <cell r="S244">
            <v>31.717977721495746</v>
          </cell>
          <cell r="U244">
            <v>35.026733427144862</v>
          </cell>
        </row>
        <row r="245">
          <cell r="A245" t="str">
            <v>% Sales</v>
          </cell>
          <cell r="B245" t="str">
            <v>% Net Sales</v>
          </cell>
          <cell r="E245">
            <v>0.1600267197555775</v>
          </cell>
          <cell r="G245">
            <v>0.11253835991220171</v>
          </cell>
          <cell r="M245">
            <v>0.13628253983388963</v>
          </cell>
          <cell r="O245">
            <v>0.13628253983388958</v>
          </cell>
          <cell r="Q245">
            <v>0.1362825398338896</v>
          </cell>
          <cell r="S245">
            <v>0.1362825398338896</v>
          </cell>
          <cell r="U245">
            <v>0.13628253983388955</v>
          </cell>
        </row>
        <row r="247">
          <cell r="A247" t="str">
            <v xml:space="preserve">Memo: Sales </v>
          </cell>
          <cell r="E247">
            <v>126.59644733668867</v>
          </cell>
          <cell r="G247">
            <v>137.18149013406895</v>
          </cell>
          <cell r="M247">
            <v>148.29283021505915</v>
          </cell>
          <cell r="O247">
            <v>165.4628862148941</v>
          </cell>
          <cell r="Q247">
            <v>188.95486416391645</v>
          </cell>
          <cell r="S247">
            <v>232.73691376867328</v>
          </cell>
          <cell r="U247">
            <v>257.01556097969581</v>
          </cell>
        </row>
        <row r="250">
          <cell r="A250" t="str">
            <v>DEBT SCHEDULE</v>
          </cell>
        </row>
        <row r="251">
          <cell r="K251">
            <v>43039</v>
          </cell>
          <cell r="M251">
            <v>43465</v>
          </cell>
          <cell r="O251">
            <v>43830</v>
          </cell>
          <cell r="Q251">
            <v>44196</v>
          </cell>
          <cell r="S251">
            <v>44561</v>
          </cell>
          <cell r="U251">
            <v>44926</v>
          </cell>
        </row>
        <row r="252">
          <cell r="A252" t="str">
            <v>Interest Expense</v>
          </cell>
        </row>
        <row r="253">
          <cell r="A253" t="str">
            <v>Revolver Ending Balance</v>
          </cell>
          <cell r="K253">
            <v>0</v>
          </cell>
          <cell r="M253">
            <v>0.59768672155539537</v>
          </cell>
          <cell r="O253">
            <v>1.1237338239825396</v>
          </cell>
          <cell r="Q253">
            <v>0</v>
          </cell>
          <cell r="S253">
            <v>0</v>
          </cell>
          <cell r="U253">
            <v>0</v>
          </cell>
        </row>
        <row r="254">
          <cell r="A254" t="str">
            <v xml:space="preserve">Revolver Unused </v>
          </cell>
          <cell r="G254" t="str">
            <v>INCORP LCs</v>
          </cell>
          <cell r="K254">
            <v>15</v>
          </cell>
          <cell r="M254">
            <v>14.402313278444606</v>
          </cell>
          <cell r="O254">
            <v>13.876266176017459</v>
          </cell>
          <cell r="Q254">
            <v>15</v>
          </cell>
          <cell r="S254">
            <v>15</v>
          </cell>
          <cell r="U254">
            <v>15</v>
          </cell>
        </row>
        <row r="255">
          <cell r="A255" t="str">
            <v>Cash Ending Balance</v>
          </cell>
          <cell r="K255">
            <v>3</v>
          </cell>
          <cell r="M255">
            <v>3</v>
          </cell>
          <cell r="O255">
            <v>3</v>
          </cell>
          <cell r="Q255">
            <v>13.200732027514295</v>
          </cell>
          <cell r="S255">
            <v>19.918291934829949</v>
          </cell>
          <cell r="U255">
            <v>29.071425982085653</v>
          </cell>
        </row>
        <row r="256">
          <cell r="A256" t="str">
            <v>Net Debt</v>
          </cell>
          <cell r="K256">
            <v>-3</v>
          </cell>
          <cell r="M256">
            <v>-2.4023132784446046</v>
          </cell>
          <cell r="O256">
            <v>-1.8762661760174604</v>
          </cell>
          <cell r="Q256">
            <v>-13.200732027514295</v>
          </cell>
          <cell r="S256">
            <v>-19.918291934829949</v>
          </cell>
          <cell r="U256">
            <v>-29.071425982085653</v>
          </cell>
        </row>
        <row r="257">
          <cell r="A257" t="str">
            <v>Letters of Credit</v>
          </cell>
        </row>
        <row r="258">
          <cell r="E258" t="str">
            <v>Rate</v>
          </cell>
          <cell r="G258" t="str">
            <v>Floor</v>
          </cell>
        </row>
        <row r="259">
          <cell r="A259" t="str">
            <v>Revolver</v>
          </cell>
          <cell r="E259">
            <v>650</v>
          </cell>
          <cell r="G259">
            <v>0.01</v>
          </cell>
          <cell r="M259">
            <v>2.2413252058327327E-2</v>
          </cell>
          <cell r="O259">
            <v>6.6369369133215075E-2</v>
          </cell>
          <cell r="Q259">
            <v>4.9326296203713579E-2</v>
          </cell>
          <cell r="S259">
            <v>0</v>
          </cell>
          <cell r="U259">
            <v>0</v>
          </cell>
        </row>
        <row r="260">
          <cell r="A260" t="str">
            <v>Revolver Unused</v>
          </cell>
          <cell r="E260">
            <v>5.0000000000000001E-3</v>
          </cell>
          <cell r="M260">
            <v>7.3505783196111521E-2</v>
          </cell>
          <cell r="O260">
            <v>7.0696448636155165E-2</v>
          </cell>
          <cell r="Q260">
            <v>7.2190665440043655E-2</v>
          </cell>
          <cell r="S260">
            <v>7.4999999999999997E-2</v>
          </cell>
          <cell r="U260">
            <v>7.4999999999999997E-2</v>
          </cell>
        </row>
        <row r="261">
          <cell r="A261" t="str">
            <v>Cash</v>
          </cell>
          <cell r="E261">
            <v>0</v>
          </cell>
          <cell r="M261">
            <v>0</v>
          </cell>
          <cell r="O261">
            <v>0</v>
          </cell>
          <cell r="Q261">
            <v>0</v>
          </cell>
          <cell r="S261">
            <v>0</v>
          </cell>
          <cell r="U261">
            <v>0</v>
          </cell>
        </row>
        <row r="262">
          <cell r="A262" t="str">
            <v>Letters of Credit Charge</v>
          </cell>
        </row>
        <row r="263">
          <cell r="A263" t="str">
            <v>Total Interest Expense</v>
          </cell>
          <cell r="M263">
            <v>9.5919035254438845E-2</v>
          </cell>
          <cell r="O263">
            <v>0.13706581776937024</v>
          </cell>
          <cell r="Q263">
            <v>0.12151696164375723</v>
          </cell>
          <cell r="S263">
            <v>7.4999999999999997E-2</v>
          </cell>
          <cell r="U263">
            <v>7.4999999999999997E-2</v>
          </cell>
        </row>
        <row r="265">
          <cell r="A265" t="str">
            <v>Memo: Libor Curve</v>
          </cell>
        </row>
        <row r="266">
          <cell r="A266" t="str">
            <v>LIBOR Curve</v>
          </cell>
          <cell r="M266">
            <v>3.3700000000000002E-3</v>
          </cell>
          <cell r="O266">
            <v>1.2109999999999999E-2</v>
          </cell>
          <cell r="Q266">
            <v>2.2790000000000001E-2</v>
          </cell>
          <cell r="S266">
            <v>3.0079999999999999E-2</v>
          </cell>
          <cell r="U266">
            <v>3.4880000000000001E-2</v>
          </cell>
        </row>
        <row r="268">
          <cell r="A268" t="str">
            <v>Debt Paydown</v>
          </cell>
          <cell r="E268" t="str">
            <v>Amortization</v>
          </cell>
        </row>
        <row r="269">
          <cell r="A269" t="str">
            <v>Revolver Beginning Balance</v>
          </cell>
          <cell r="M269">
            <v>0</v>
          </cell>
          <cell r="O269">
            <v>0.59768672155539537</v>
          </cell>
          <cell r="Q269">
            <v>1.1237338239825396</v>
          </cell>
          <cell r="S269">
            <v>0</v>
          </cell>
          <cell r="U269">
            <v>0</v>
          </cell>
        </row>
        <row r="270">
          <cell r="A270" t="str">
            <v>Optional Paydown</v>
          </cell>
          <cell r="E270" t="str">
            <v>-</v>
          </cell>
          <cell r="M270">
            <v>0.59768672155539537</v>
          </cell>
          <cell r="O270">
            <v>0.52604710242714425</v>
          </cell>
          <cell r="Q270">
            <v>-1.1237338239825396</v>
          </cell>
          <cell r="S270">
            <v>0</v>
          </cell>
          <cell r="U270">
            <v>0</v>
          </cell>
        </row>
        <row r="271">
          <cell r="A271" t="str">
            <v>Revolver Ending Balance</v>
          </cell>
          <cell r="M271">
            <v>0.59768672155539537</v>
          </cell>
          <cell r="O271">
            <v>1.1237338239825396</v>
          </cell>
          <cell r="Q271">
            <v>0</v>
          </cell>
          <cell r="S271">
            <v>0</v>
          </cell>
          <cell r="U271">
            <v>0</v>
          </cell>
        </row>
        <row r="275">
          <cell r="A275" t="str">
            <v>Year 5.0 Summary Returns Analysis</v>
          </cell>
          <cell r="M275" t="str">
            <v>Year 5.0 (12/31/2022) Exit Value</v>
          </cell>
        </row>
        <row r="276">
          <cell r="A276" t="str">
            <v>Exit Multiple</v>
          </cell>
          <cell r="M276">
            <v>3</v>
          </cell>
          <cell r="O276">
            <v>4</v>
          </cell>
          <cell r="Q276">
            <v>5</v>
          </cell>
          <cell r="S276">
            <v>6</v>
          </cell>
          <cell r="U276">
            <v>7</v>
          </cell>
          <cell r="W276">
            <v>8</v>
          </cell>
          <cell r="Y276">
            <v>9</v>
          </cell>
        </row>
        <row r="277">
          <cell r="A277" t="str">
            <v>Exit EBITDA</v>
          </cell>
          <cell r="M277">
            <v>26.513513248347572</v>
          </cell>
          <cell r="O277">
            <v>26.513513248347572</v>
          </cell>
          <cell r="Q277">
            <v>26.513513248347572</v>
          </cell>
          <cell r="S277">
            <v>26.513513248347572</v>
          </cell>
          <cell r="U277">
            <v>26.513513248347572</v>
          </cell>
          <cell r="W277">
            <v>26.513513248347572</v>
          </cell>
          <cell r="Y277">
            <v>26.513513248347572</v>
          </cell>
        </row>
        <row r="278">
          <cell r="A278" t="str">
            <v>Exit Enterprise Value</v>
          </cell>
          <cell r="M278">
            <v>79.540539745042707</v>
          </cell>
          <cell r="O278">
            <v>106.05405299339029</v>
          </cell>
          <cell r="Q278">
            <v>132.56756624173786</v>
          </cell>
          <cell r="S278">
            <v>159.08107949008541</v>
          </cell>
          <cell r="U278">
            <v>185.59459273843299</v>
          </cell>
          <cell r="W278">
            <v>212.10810598678057</v>
          </cell>
          <cell r="Y278">
            <v>238.62161923512815</v>
          </cell>
        </row>
        <row r="279">
          <cell r="A279" t="str">
            <v>Less Net Debt / (Cash)</v>
          </cell>
          <cell r="G279" t="str">
            <v>MOIC Hurdle</v>
          </cell>
          <cell r="M279">
            <v>-29.071425982085653</v>
          </cell>
          <cell r="O279">
            <v>-29.071425982085653</v>
          </cell>
          <cell r="Q279">
            <v>-29.071425982085653</v>
          </cell>
          <cell r="S279">
            <v>-29.071425982085653</v>
          </cell>
          <cell r="U279">
            <v>-29.071425982085653</v>
          </cell>
          <cell r="W279">
            <v>-29.071425982085653</v>
          </cell>
          <cell r="Y279">
            <v>-29.071425982085653</v>
          </cell>
        </row>
        <row r="280">
          <cell r="A280" t="str">
            <v>Less ETX Earn-out</v>
          </cell>
          <cell r="G280">
            <v>3</v>
          </cell>
          <cell r="M280">
            <v>0</v>
          </cell>
          <cell r="O280">
            <v>5</v>
          </cell>
          <cell r="Q280">
            <v>5</v>
          </cell>
          <cell r="S280">
            <v>5</v>
          </cell>
          <cell r="U280">
            <v>5</v>
          </cell>
          <cell r="W280">
            <v>5</v>
          </cell>
          <cell r="Y280">
            <v>5</v>
          </cell>
        </row>
        <row r="281">
          <cell r="A281" t="str">
            <v>Primary Equity Value</v>
          </cell>
          <cell r="M281">
            <v>108.61196572712836</v>
          </cell>
          <cell r="O281">
            <v>130.12547897547594</v>
          </cell>
          <cell r="Q281">
            <v>156.63899222382352</v>
          </cell>
          <cell r="S281">
            <v>183.15250547217107</v>
          </cell>
          <cell r="U281">
            <v>209.66601872051865</v>
          </cell>
          <cell r="W281">
            <v>236.17953196886623</v>
          </cell>
          <cell r="Y281">
            <v>262.69304521721381</v>
          </cell>
        </row>
        <row r="282">
          <cell r="A282" t="str">
            <v>Less: Initial Preferred Equity Principal</v>
          </cell>
          <cell r="M282">
            <v>28.565462</v>
          </cell>
          <cell r="O282">
            <v>28.565462</v>
          </cell>
          <cell r="Q282">
            <v>28.565462</v>
          </cell>
          <cell r="S282">
            <v>28.565462</v>
          </cell>
          <cell r="U282">
            <v>28.565462</v>
          </cell>
          <cell r="W282">
            <v>28.565462</v>
          </cell>
          <cell r="Y282">
            <v>28.565462</v>
          </cell>
        </row>
        <row r="283">
          <cell r="A283" t="str">
            <v>Less: Acquisition Preferred Equity Principal</v>
          </cell>
          <cell r="M283">
            <v>7</v>
          </cell>
          <cell r="O283">
            <v>7</v>
          </cell>
          <cell r="Q283">
            <v>7</v>
          </cell>
          <cell r="S283">
            <v>7</v>
          </cell>
          <cell r="U283">
            <v>7</v>
          </cell>
          <cell r="W283">
            <v>7</v>
          </cell>
          <cell r="Y283">
            <v>7</v>
          </cell>
        </row>
        <row r="284">
          <cell r="A284" t="str">
            <v>Less: Initial Preferred Equity Accrual</v>
          </cell>
        </row>
        <row r="285">
          <cell r="A285" t="str">
            <v>Less: Acquisition Preferred Equity Accrual</v>
          </cell>
        </row>
        <row r="286">
          <cell r="A286" t="str">
            <v>FD Common Equity Gains</v>
          </cell>
          <cell r="M286">
            <v>73.046503727128368</v>
          </cell>
          <cell r="O286">
            <v>94.560016975475946</v>
          </cell>
          <cell r="Q286">
            <v>121.07353022382352</v>
          </cell>
          <cell r="S286">
            <v>147.58704347217108</v>
          </cell>
          <cell r="U286">
            <v>174.10055672051865</v>
          </cell>
          <cell r="W286">
            <v>200.61406996886623</v>
          </cell>
          <cell r="Y286">
            <v>227.12758321721381</v>
          </cell>
        </row>
        <row r="288">
          <cell r="A288" t="str">
            <v xml:space="preserve">Preferred Equity (Initial): </v>
          </cell>
        </row>
        <row r="289">
          <cell r="A289" t="str">
            <v>AMCP</v>
          </cell>
          <cell r="M289">
            <v>1</v>
          </cell>
          <cell r="O289">
            <v>1</v>
          </cell>
          <cell r="Q289">
            <v>1</v>
          </cell>
          <cell r="S289">
            <v>1</v>
          </cell>
          <cell r="U289">
            <v>1</v>
          </cell>
          <cell r="W289">
            <v>1</v>
          </cell>
          <cell r="Y289">
            <v>1</v>
          </cell>
        </row>
        <row r="290">
          <cell r="A290" t="str">
            <v>Management Rolled Equity</v>
          </cell>
          <cell r="M290">
            <v>0</v>
          </cell>
          <cell r="O290">
            <v>0</v>
          </cell>
          <cell r="Q290">
            <v>0</v>
          </cell>
          <cell r="S290">
            <v>0</v>
          </cell>
          <cell r="U290">
            <v>0</v>
          </cell>
          <cell r="W290">
            <v>0</v>
          </cell>
          <cell r="Y290">
            <v>0</v>
          </cell>
        </row>
        <row r="291">
          <cell r="A291" t="str">
            <v>Mgmt Options</v>
          </cell>
          <cell r="M291">
            <v>0</v>
          </cell>
          <cell r="O291">
            <v>0</v>
          </cell>
          <cell r="Q291">
            <v>0</v>
          </cell>
          <cell r="S291">
            <v>0</v>
          </cell>
          <cell r="U291">
            <v>0</v>
          </cell>
          <cell r="W291">
            <v>0</v>
          </cell>
          <cell r="Y291">
            <v>0</v>
          </cell>
        </row>
        <row r="292">
          <cell r="M292">
            <v>1</v>
          </cell>
          <cell r="O292">
            <v>1</v>
          </cell>
          <cell r="Q292">
            <v>1</v>
          </cell>
          <cell r="S292">
            <v>1</v>
          </cell>
          <cell r="U292">
            <v>1</v>
          </cell>
          <cell r="W292">
            <v>1</v>
          </cell>
          <cell r="Y292">
            <v>1</v>
          </cell>
        </row>
        <row r="293">
          <cell r="A293" t="str">
            <v>Preferred Equity Proceeds:</v>
          </cell>
          <cell r="E293" t="str">
            <v>AMCP Recieves 100% Acq. Pref Equity</v>
          </cell>
        </row>
        <row r="294">
          <cell r="A294" t="str">
            <v>AMCP</v>
          </cell>
          <cell r="M294">
            <v>35.565461999999997</v>
          </cell>
          <cell r="O294">
            <v>35.565461999999997</v>
          </cell>
          <cell r="Q294">
            <v>35.565461999999997</v>
          </cell>
          <cell r="S294">
            <v>35.565461999999997</v>
          </cell>
          <cell r="U294">
            <v>35.565461999999997</v>
          </cell>
          <cell r="W294">
            <v>35.565461999999997</v>
          </cell>
          <cell r="Y294">
            <v>35.565461999999997</v>
          </cell>
          <cell r="Z294" t="str">
            <v>&lt;--- AMCP gets back 100% of Acq. Pref Principal and Accrual</v>
          </cell>
        </row>
        <row r="295">
          <cell r="A295" t="str">
            <v>Management Rolled Equity</v>
          </cell>
          <cell r="M295">
            <v>0</v>
          </cell>
          <cell r="O295">
            <v>0</v>
          </cell>
          <cell r="Q295">
            <v>0</v>
          </cell>
          <cell r="S295">
            <v>0</v>
          </cell>
          <cell r="U295">
            <v>0</v>
          </cell>
          <cell r="W295">
            <v>0</v>
          </cell>
          <cell r="Y295">
            <v>0</v>
          </cell>
        </row>
        <row r="296">
          <cell r="A296" t="str">
            <v>Mgmt Options</v>
          </cell>
          <cell r="M296">
            <v>0</v>
          </cell>
          <cell r="O296">
            <v>0</v>
          </cell>
          <cell r="Q296">
            <v>0</v>
          </cell>
          <cell r="S296">
            <v>0</v>
          </cell>
          <cell r="U296">
            <v>0</v>
          </cell>
          <cell r="W296">
            <v>0</v>
          </cell>
          <cell r="Y296">
            <v>0</v>
          </cell>
        </row>
        <row r="297">
          <cell r="A297" t="str">
            <v>Total</v>
          </cell>
          <cell r="M297">
            <v>35.565461999999997</v>
          </cell>
          <cell r="O297">
            <v>35.565461999999997</v>
          </cell>
          <cell r="Q297">
            <v>35.565461999999997</v>
          </cell>
          <cell r="S297">
            <v>35.565461999999997</v>
          </cell>
          <cell r="U297">
            <v>35.565461999999997</v>
          </cell>
          <cell r="W297">
            <v>35.565461999999997</v>
          </cell>
          <cell r="Y297">
            <v>35.565461999999997</v>
          </cell>
        </row>
        <row r="300">
          <cell r="A300" t="str">
            <v xml:space="preserve">Fully Diluted Common Equity: </v>
          </cell>
        </row>
        <row r="301">
          <cell r="A301" t="str">
            <v>AMCP</v>
          </cell>
          <cell r="M301">
            <v>0.91333333333333333</v>
          </cell>
          <cell r="O301">
            <v>0.9</v>
          </cell>
          <cell r="Q301">
            <v>0.9</v>
          </cell>
          <cell r="S301">
            <v>0.9</v>
          </cell>
          <cell r="U301">
            <v>0.9</v>
          </cell>
          <cell r="W301">
            <v>0.9</v>
          </cell>
          <cell r="X301">
            <v>1</v>
          </cell>
          <cell r="Y301">
            <v>0.9</v>
          </cell>
        </row>
        <row r="302">
          <cell r="A302" t="str">
            <v>Mgmt Options</v>
          </cell>
          <cell r="G302" t="str">
            <v>MOIC Hurdle</v>
          </cell>
          <cell r="I302" t="str">
            <v>Option Pool</v>
          </cell>
          <cell r="M302">
            <v>8.666666666666667E-2</v>
          </cell>
          <cell r="O302">
            <v>0.1</v>
          </cell>
          <cell r="Q302">
            <v>0.1</v>
          </cell>
          <cell r="S302">
            <v>0.1</v>
          </cell>
          <cell r="U302">
            <v>0.1</v>
          </cell>
          <cell r="W302">
            <v>0.1</v>
          </cell>
          <cell r="X302">
            <v>0</v>
          </cell>
          <cell r="Y302">
            <v>0.1</v>
          </cell>
        </row>
        <row r="303">
          <cell r="A303" t="str">
            <v>Time Vesting</v>
          </cell>
          <cell r="G303">
            <v>0</v>
          </cell>
          <cell r="I303">
            <v>0.06</v>
          </cell>
          <cell r="M303">
            <v>0.06</v>
          </cell>
          <cell r="O303">
            <v>0.06</v>
          </cell>
          <cell r="Q303">
            <v>0.06</v>
          </cell>
          <cell r="S303">
            <v>0.06</v>
          </cell>
          <cell r="U303">
            <v>0.06</v>
          </cell>
          <cell r="W303">
            <v>0.06</v>
          </cell>
          <cell r="Y303">
            <v>0.06</v>
          </cell>
        </row>
        <row r="304">
          <cell r="A304" t="str">
            <v>Performance Tranche 1</v>
          </cell>
          <cell r="G304">
            <v>2</v>
          </cell>
          <cell r="I304">
            <v>1.3333333333333336E-2</v>
          </cell>
          <cell r="M304">
            <v>1.3333333333333336E-2</v>
          </cell>
          <cell r="O304">
            <v>1.3333333333333336E-2</v>
          </cell>
          <cell r="Q304">
            <v>1.3333333333333336E-2</v>
          </cell>
          <cell r="S304">
            <v>1.3333333333333336E-2</v>
          </cell>
          <cell r="U304">
            <v>1.3333333333333336E-2</v>
          </cell>
          <cell r="W304">
            <v>1.3333333333333336E-2</v>
          </cell>
          <cell r="Y304">
            <v>1.3333333333333336E-2</v>
          </cell>
        </row>
        <row r="305">
          <cell r="A305" t="str">
            <v>Performance Tranche 2</v>
          </cell>
          <cell r="G305">
            <v>2.5</v>
          </cell>
          <cell r="I305">
            <v>1.3333333333333336E-2</v>
          </cell>
          <cell r="M305">
            <v>1.3333333333333336E-2</v>
          </cell>
          <cell r="O305">
            <v>1.3333333333333336E-2</v>
          </cell>
          <cell r="Q305">
            <v>1.3333333333333336E-2</v>
          </cell>
          <cell r="S305">
            <v>1.3333333333333336E-2</v>
          </cell>
          <cell r="U305">
            <v>1.3333333333333336E-2</v>
          </cell>
          <cell r="W305">
            <v>1.3333333333333336E-2</v>
          </cell>
          <cell r="Y305">
            <v>1.3333333333333336E-2</v>
          </cell>
        </row>
        <row r="306">
          <cell r="A306" t="str">
            <v>Performance Tranche 3</v>
          </cell>
          <cell r="G306">
            <v>3</v>
          </cell>
          <cell r="I306">
            <v>1.3333333333333336E-2</v>
          </cell>
          <cell r="M306">
            <v>0</v>
          </cell>
          <cell r="O306">
            <v>1.3333333333333336E-2</v>
          </cell>
          <cell r="Q306">
            <v>1.3333333333333336E-2</v>
          </cell>
          <cell r="S306">
            <v>1.3333333333333336E-2</v>
          </cell>
          <cell r="U306">
            <v>1.3333333333333336E-2</v>
          </cell>
          <cell r="W306">
            <v>1.3333333333333336E-2</v>
          </cell>
          <cell r="Y306">
            <v>1.3333333333333336E-2</v>
          </cell>
        </row>
        <row r="308">
          <cell r="A308" t="str">
            <v>Total</v>
          </cell>
          <cell r="M308">
            <v>1</v>
          </cell>
          <cell r="O308">
            <v>1</v>
          </cell>
          <cell r="Q308">
            <v>1</v>
          </cell>
          <cell r="S308">
            <v>1</v>
          </cell>
          <cell r="U308">
            <v>1</v>
          </cell>
          <cell r="W308">
            <v>1</v>
          </cell>
          <cell r="X308">
            <v>1</v>
          </cell>
          <cell r="Y308">
            <v>1</v>
          </cell>
        </row>
        <row r="311">
          <cell r="A311" t="str">
            <v>Fully Diluted Common Equity Proceeds:</v>
          </cell>
        </row>
        <row r="312">
          <cell r="A312" t="str">
            <v>AMCP</v>
          </cell>
          <cell r="M312">
            <v>66.715806737443913</v>
          </cell>
          <cell r="O312">
            <v>85.104015277928355</v>
          </cell>
          <cell r="Q312">
            <v>108.96617720144117</v>
          </cell>
          <cell r="S312">
            <v>132.82833912495397</v>
          </cell>
          <cell r="U312">
            <v>156.69050104846679</v>
          </cell>
          <cell r="W312">
            <v>180.5526629719796</v>
          </cell>
          <cell r="Y312">
            <v>204.41482489549244</v>
          </cell>
        </row>
        <row r="313">
          <cell r="A313" t="str">
            <v>Management Rolled Equity</v>
          </cell>
          <cell r="M313">
            <v>0</v>
          </cell>
          <cell r="O313">
            <v>0</v>
          </cell>
          <cell r="Q313">
            <v>0</v>
          </cell>
          <cell r="S313">
            <v>0</v>
          </cell>
          <cell r="U313">
            <v>0</v>
          </cell>
          <cell r="W313">
            <v>0</v>
          </cell>
          <cell r="Y313">
            <v>0</v>
          </cell>
        </row>
        <row r="314">
          <cell r="A314" t="str">
            <v>Mgmt Options</v>
          </cell>
          <cell r="M314">
            <v>6.3306969896844585</v>
          </cell>
          <cell r="O314">
            <v>9.4560016975475953</v>
          </cell>
          <cell r="Q314">
            <v>12.107353022382354</v>
          </cell>
          <cell r="S314">
            <v>14.758704347217108</v>
          </cell>
          <cell r="U314">
            <v>17.410055672051865</v>
          </cell>
          <cell r="W314">
            <v>20.061406996886625</v>
          </cell>
          <cell r="Y314">
            <v>22.712758321721381</v>
          </cell>
        </row>
        <row r="315">
          <cell r="A315" t="str">
            <v>Total</v>
          </cell>
          <cell r="M315">
            <v>73.046503727128368</v>
          </cell>
          <cell r="O315">
            <v>94.560016975475946</v>
          </cell>
          <cell r="Q315">
            <v>121.07353022382352</v>
          </cell>
          <cell r="S315">
            <v>147.58704347217108</v>
          </cell>
          <cell r="U315">
            <v>174.10055672051865</v>
          </cell>
          <cell r="W315">
            <v>200.61406996886623</v>
          </cell>
          <cell r="Y315">
            <v>227.12758321721384</v>
          </cell>
        </row>
        <row r="318">
          <cell r="A318" t="str">
            <v>Gross Equity Proceeds:</v>
          </cell>
        </row>
        <row r="319">
          <cell r="A319" t="str">
            <v>AMCP</v>
          </cell>
          <cell r="M319">
            <v>102.28126873744391</v>
          </cell>
          <cell r="O319">
            <v>120.66947727792835</v>
          </cell>
          <cell r="Q319">
            <v>144.53163920144118</v>
          </cell>
          <cell r="S319">
            <v>168.39380112495397</v>
          </cell>
          <cell r="U319">
            <v>192.25596304846678</v>
          </cell>
          <cell r="W319">
            <v>216.1181249719796</v>
          </cell>
          <cell r="Y319">
            <v>239.98028689549244</v>
          </cell>
        </row>
        <row r="320">
          <cell r="A320" t="str">
            <v>Management Rolled Equity</v>
          </cell>
          <cell r="M320">
            <v>0</v>
          </cell>
          <cell r="O320">
            <v>0</v>
          </cell>
          <cell r="Q320">
            <v>0</v>
          </cell>
          <cell r="S320">
            <v>0</v>
          </cell>
          <cell r="U320">
            <v>0</v>
          </cell>
          <cell r="W320">
            <v>0</v>
          </cell>
          <cell r="Y320">
            <v>0</v>
          </cell>
        </row>
        <row r="321">
          <cell r="A321" t="str">
            <v>Mgmt Options</v>
          </cell>
          <cell r="M321">
            <v>6.3306969896844585</v>
          </cell>
          <cell r="O321">
            <v>9.4560016975475953</v>
          </cell>
          <cell r="Q321">
            <v>12.107353022382354</v>
          </cell>
          <cell r="S321">
            <v>14.758704347217108</v>
          </cell>
          <cell r="U321">
            <v>17.410055672051865</v>
          </cell>
          <cell r="W321">
            <v>20.061406996886625</v>
          </cell>
          <cell r="Y321">
            <v>22.712758321721381</v>
          </cell>
        </row>
        <row r="322">
          <cell r="A322" t="str">
            <v>Total</v>
          </cell>
          <cell r="M322">
            <v>108.61196572712836</v>
          </cell>
          <cell r="O322">
            <v>130.12547897547594</v>
          </cell>
          <cell r="Q322">
            <v>156.63899222382352</v>
          </cell>
          <cell r="S322">
            <v>183.15250547217107</v>
          </cell>
          <cell r="U322">
            <v>209.66601872051865</v>
          </cell>
          <cell r="W322">
            <v>236.17953196886623</v>
          </cell>
          <cell r="Y322">
            <v>262.69304521721381</v>
          </cell>
        </row>
        <row r="323">
          <cell r="M323" t="str">
            <v>Check</v>
          </cell>
          <cell r="O323" t="str">
            <v>Check</v>
          </cell>
          <cell r="Q323" t="str">
            <v>Check</v>
          </cell>
          <cell r="S323" t="str">
            <v>Check</v>
          </cell>
          <cell r="U323" t="str">
            <v>Check</v>
          </cell>
          <cell r="W323" t="str">
            <v>Check</v>
          </cell>
          <cell r="Y323" t="str">
            <v>Check</v>
          </cell>
        </row>
        <row r="324">
          <cell r="A324" t="str">
            <v>% of Gross Proceeds:</v>
          </cell>
        </row>
        <row r="325">
          <cell r="A325" t="str">
            <v>AMCP</v>
          </cell>
          <cell r="M325">
            <v>0.94171271141902169</v>
          </cell>
          <cell r="O325">
            <v>0.92733166654218646</v>
          </cell>
          <cell r="Q325">
            <v>0.9227053695220282</v>
          </cell>
          <cell r="S325">
            <v>0.91941849602783843</v>
          </cell>
          <cell r="U325">
            <v>0.91696291188101786</v>
          </cell>
          <cell r="W325">
            <v>0.91505865546582943</v>
          </cell>
          <cell r="Y325">
            <v>0.91353879086162793</v>
          </cell>
        </row>
        <row r="326">
          <cell r="A326" t="str">
            <v>Management Rolled Equity</v>
          </cell>
          <cell r="M326">
            <v>0</v>
          </cell>
          <cell r="O326">
            <v>0</v>
          </cell>
          <cell r="Q326">
            <v>0</v>
          </cell>
          <cell r="S326">
            <v>0</v>
          </cell>
          <cell r="U326">
            <v>0</v>
          </cell>
          <cell r="W326">
            <v>0</v>
          </cell>
          <cell r="Y326">
            <v>0</v>
          </cell>
        </row>
        <row r="327">
          <cell r="A327" t="str">
            <v>Mgmt Options</v>
          </cell>
          <cell r="M327">
            <v>5.8287288580978328E-2</v>
          </cell>
          <cell r="O327">
            <v>7.266833345781358E-2</v>
          </cell>
          <cell r="Q327">
            <v>7.7294630477971901E-2</v>
          </cell>
          <cell r="S327">
            <v>8.0581503972161628E-2</v>
          </cell>
          <cell r="U327">
            <v>8.3037088118982139E-2</v>
          </cell>
          <cell r="W327">
            <v>8.4941344534170599E-2</v>
          </cell>
          <cell r="Y327">
            <v>8.6461209138372172E-2</v>
          </cell>
        </row>
        <row r="328">
          <cell r="A328" t="str">
            <v>Total</v>
          </cell>
          <cell r="M328">
            <v>1</v>
          </cell>
          <cell r="O328">
            <v>1</v>
          </cell>
          <cell r="Q328">
            <v>1</v>
          </cell>
          <cell r="S328">
            <v>1</v>
          </cell>
          <cell r="U328">
            <v>1</v>
          </cell>
          <cell r="W328">
            <v>1</v>
          </cell>
          <cell r="Y328">
            <v>1</v>
          </cell>
        </row>
        <row r="330">
          <cell r="A330" t="str">
            <v>Net Equity Proceeds:</v>
          </cell>
        </row>
        <row r="331">
          <cell r="A331" t="str">
            <v>AMCP</v>
          </cell>
          <cell r="M331">
            <v>66.715806737443913</v>
          </cell>
          <cell r="O331">
            <v>85.104015277928355</v>
          </cell>
          <cell r="Q331">
            <v>108.96617720144118</v>
          </cell>
          <cell r="S331">
            <v>132.82833912495397</v>
          </cell>
          <cell r="U331">
            <v>156.69050104846679</v>
          </cell>
          <cell r="W331">
            <v>180.5526629719796</v>
          </cell>
          <cell r="Y331">
            <v>204.41482489549244</v>
          </cell>
        </row>
        <row r="332">
          <cell r="A332" t="str">
            <v>Management Rolled Equity</v>
          </cell>
          <cell r="M332">
            <v>0</v>
          </cell>
          <cell r="O332">
            <v>0</v>
          </cell>
          <cell r="Q332">
            <v>0</v>
          </cell>
          <cell r="S332">
            <v>0</v>
          </cell>
          <cell r="U332">
            <v>0</v>
          </cell>
          <cell r="W332">
            <v>0</v>
          </cell>
          <cell r="Y332">
            <v>0</v>
          </cell>
        </row>
        <row r="333">
          <cell r="A333" t="str">
            <v>Mgmt Options</v>
          </cell>
          <cell r="M333">
            <v>6.3306969896844585</v>
          </cell>
          <cell r="O333">
            <v>9.4560016975475953</v>
          </cell>
          <cell r="Q333">
            <v>12.107353022382354</v>
          </cell>
          <cell r="S333">
            <v>14.758704347217108</v>
          </cell>
          <cell r="U333">
            <v>17.410055672051865</v>
          </cell>
          <cell r="W333">
            <v>20.061406996886625</v>
          </cell>
          <cell r="Y333">
            <v>22.712758321721381</v>
          </cell>
        </row>
        <row r="334">
          <cell r="A334" t="str">
            <v>Total</v>
          </cell>
          <cell r="M334">
            <v>73.046503727128368</v>
          </cell>
          <cell r="O334">
            <v>94.560016975475946</v>
          </cell>
          <cell r="Q334">
            <v>121.07353022382354</v>
          </cell>
          <cell r="S334">
            <v>147.58704347217108</v>
          </cell>
          <cell r="U334">
            <v>174.10055672051865</v>
          </cell>
          <cell r="W334">
            <v>200.61406996886623</v>
          </cell>
          <cell r="Y334">
            <v>227.12758321721384</v>
          </cell>
        </row>
        <row r="336">
          <cell r="A336" t="str">
            <v>% of Net Proceeds:</v>
          </cell>
        </row>
        <row r="337">
          <cell r="A337" t="str">
            <v>AMCP</v>
          </cell>
          <cell r="M337">
            <v>0.91333333333333333</v>
          </cell>
          <cell r="O337">
            <v>0.9</v>
          </cell>
          <cell r="Q337">
            <v>0.9</v>
          </cell>
          <cell r="S337">
            <v>0.9</v>
          </cell>
          <cell r="U337">
            <v>0.9</v>
          </cell>
          <cell r="W337">
            <v>0.89999999999999991</v>
          </cell>
          <cell r="Y337">
            <v>0.89999999999999991</v>
          </cell>
        </row>
        <row r="338">
          <cell r="A338" t="str">
            <v>Management Rolled Equity</v>
          </cell>
          <cell r="M338">
            <v>0</v>
          </cell>
          <cell r="O338">
            <v>0</v>
          </cell>
          <cell r="Q338">
            <v>0</v>
          </cell>
          <cell r="S338">
            <v>0</v>
          </cell>
          <cell r="U338">
            <v>0</v>
          </cell>
          <cell r="W338">
            <v>0</v>
          </cell>
          <cell r="Y338">
            <v>0</v>
          </cell>
        </row>
        <row r="339">
          <cell r="A339" t="str">
            <v>Mgmt Options</v>
          </cell>
          <cell r="M339">
            <v>8.666666666666667E-2</v>
          </cell>
          <cell r="O339">
            <v>0.1</v>
          </cell>
          <cell r="Q339">
            <v>9.9999999999999992E-2</v>
          </cell>
          <cell r="S339">
            <v>0.1</v>
          </cell>
          <cell r="U339">
            <v>9.9999999999999992E-2</v>
          </cell>
          <cell r="W339">
            <v>0.1</v>
          </cell>
          <cell r="Y339">
            <v>9.9999999999999992E-2</v>
          </cell>
        </row>
        <row r="340">
          <cell r="A340" t="str">
            <v>Total</v>
          </cell>
          <cell r="M340">
            <v>1</v>
          </cell>
          <cell r="O340">
            <v>1</v>
          </cell>
          <cell r="Q340">
            <v>1</v>
          </cell>
          <cell r="S340">
            <v>1</v>
          </cell>
          <cell r="U340">
            <v>1</v>
          </cell>
          <cell r="W340">
            <v>0.99999999999999989</v>
          </cell>
          <cell r="Y340">
            <v>0.99999999999999989</v>
          </cell>
        </row>
        <row r="343">
          <cell r="M343">
            <v>3</v>
          </cell>
          <cell r="O343">
            <v>4</v>
          </cell>
          <cell r="Q343">
            <v>5</v>
          </cell>
          <cell r="S343">
            <v>6</v>
          </cell>
          <cell r="U343">
            <v>7</v>
          </cell>
          <cell r="W343">
            <v>8</v>
          </cell>
          <cell r="X343">
            <v>0</v>
          </cell>
          <cell r="Y343">
            <v>9</v>
          </cell>
        </row>
        <row r="345">
          <cell r="A345" t="str">
            <v>Primary Equity IRR:</v>
          </cell>
          <cell r="C345" t="str">
            <v>Investment</v>
          </cell>
          <cell r="E345" t="str">
            <v>Initial</v>
          </cell>
          <cell r="G345" t="str">
            <v>Follow-on</v>
          </cell>
          <cell r="I345" t="str">
            <v>Mgmt Fees</v>
          </cell>
          <cell r="M345" t="str">
            <v>Total</v>
          </cell>
          <cell r="AD345" t="str">
            <v>Mgmt</v>
          </cell>
          <cell r="AE345" t="str">
            <v>Base</v>
          </cell>
          <cell r="AF345" t="str">
            <v>Downside</v>
          </cell>
          <cell r="AG345" t="str">
            <v>Lender</v>
          </cell>
        </row>
        <row r="346">
          <cell r="B346">
            <v>43100</v>
          </cell>
          <cell r="C346" t="str">
            <v>Initial</v>
          </cell>
          <cell r="E346">
            <v>28.565462</v>
          </cell>
          <cell r="G346">
            <v>0</v>
          </cell>
          <cell r="I346">
            <v>0</v>
          </cell>
          <cell r="M346">
            <v>-28.565462</v>
          </cell>
          <cell r="O346">
            <v>-28.565462</v>
          </cell>
          <cell r="Q346">
            <v>-28.565462</v>
          </cell>
          <cell r="S346">
            <v>-28.565462</v>
          </cell>
          <cell r="U346">
            <v>-28.565462</v>
          </cell>
          <cell r="W346">
            <v>-28.565462</v>
          </cell>
          <cell r="Y346">
            <v>-28.565462</v>
          </cell>
          <cell r="AB346">
            <v>15</v>
          </cell>
          <cell r="AD346">
            <v>15</v>
          </cell>
          <cell r="AE346">
            <v>15</v>
          </cell>
          <cell r="AF346">
            <v>15</v>
          </cell>
          <cell r="AG346">
            <v>15</v>
          </cell>
        </row>
        <row r="347">
          <cell r="B347">
            <v>43281</v>
          </cell>
          <cell r="C347" t="str">
            <v>Follow On</v>
          </cell>
          <cell r="E347">
            <v>0</v>
          </cell>
          <cell r="G347">
            <v>1</v>
          </cell>
          <cell r="I347">
            <v>0.25</v>
          </cell>
          <cell r="M347">
            <v>-1</v>
          </cell>
          <cell r="O347">
            <v>-1</v>
          </cell>
          <cell r="Q347">
            <v>-1</v>
          </cell>
          <cell r="S347">
            <v>-1</v>
          </cell>
          <cell r="U347">
            <v>-1</v>
          </cell>
          <cell r="W347">
            <v>-1</v>
          </cell>
          <cell r="Y347">
            <v>-1</v>
          </cell>
          <cell r="AB347">
            <v>17</v>
          </cell>
          <cell r="AD347">
            <v>17</v>
          </cell>
          <cell r="AE347">
            <v>17</v>
          </cell>
          <cell r="AF347">
            <v>17</v>
          </cell>
          <cell r="AG347">
            <v>17</v>
          </cell>
        </row>
        <row r="348">
          <cell r="B348">
            <v>43646</v>
          </cell>
          <cell r="C348" t="str">
            <v>Follow On</v>
          </cell>
          <cell r="E348">
            <v>0</v>
          </cell>
          <cell r="G348">
            <v>1</v>
          </cell>
          <cell r="I348">
            <v>0.5</v>
          </cell>
          <cell r="M348">
            <v>-1</v>
          </cell>
          <cell r="O348">
            <v>-1</v>
          </cell>
          <cell r="Q348">
            <v>-1</v>
          </cell>
          <cell r="S348">
            <v>-1</v>
          </cell>
          <cell r="U348">
            <v>-1</v>
          </cell>
          <cell r="W348">
            <v>-1</v>
          </cell>
          <cell r="Y348">
            <v>-1</v>
          </cell>
          <cell r="AB348">
            <v>19</v>
          </cell>
          <cell r="AD348">
            <v>19</v>
          </cell>
          <cell r="AE348">
            <v>19</v>
          </cell>
          <cell r="AF348">
            <v>19</v>
          </cell>
          <cell r="AG348">
            <v>19</v>
          </cell>
        </row>
        <row r="349">
          <cell r="B349">
            <v>44012</v>
          </cell>
          <cell r="C349" t="str">
            <v>Follow On</v>
          </cell>
          <cell r="E349">
            <v>0</v>
          </cell>
          <cell r="G349">
            <v>1</v>
          </cell>
          <cell r="I349">
            <v>0.5</v>
          </cell>
          <cell r="M349">
            <v>-1</v>
          </cell>
          <cell r="O349">
            <v>-1</v>
          </cell>
          <cell r="Q349">
            <v>-1</v>
          </cell>
          <cell r="S349">
            <v>-1</v>
          </cell>
          <cell r="U349">
            <v>-1</v>
          </cell>
          <cell r="W349">
            <v>-1</v>
          </cell>
          <cell r="Y349">
            <v>-1</v>
          </cell>
          <cell r="AB349">
            <v>21</v>
          </cell>
          <cell r="AD349">
            <v>21</v>
          </cell>
          <cell r="AE349">
            <v>21</v>
          </cell>
          <cell r="AF349">
            <v>21</v>
          </cell>
          <cell r="AG349">
            <v>21</v>
          </cell>
        </row>
        <row r="350">
          <cell r="B350">
            <v>44377</v>
          </cell>
          <cell r="C350" t="str">
            <v>Follow On</v>
          </cell>
          <cell r="E350">
            <v>0</v>
          </cell>
          <cell r="G350">
            <v>2</v>
          </cell>
          <cell r="I350">
            <v>1</v>
          </cell>
          <cell r="M350">
            <v>-2</v>
          </cell>
          <cell r="O350">
            <v>-2</v>
          </cell>
          <cell r="Q350">
            <v>-2</v>
          </cell>
          <cell r="S350">
            <v>-2</v>
          </cell>
          <cell r="U350">
            <v>-2</v>
          </cell>
          <cell r="W350">
            <v>-2</v>
          </cell>
          <cell r="Y350">
            <v>-2</v>
          </cell>
          <cell r="AB350">
            <v>23</v>
          </cell>
          <cell r="AD350">
            <v>23</v>
          </cell>
          <cell r="AE350">
            <v>23</v>
          </cell>
          <cell r="AF350">
            <v>23</v>
          </cell>
          <cell r="AG350">
            <v>23</v>
          </cell>
        </row>
        <row r="351">
          <cell r="B351">
            <v>44742</v>
          </cell>
          <cell r="C351" t="str">
            <v>Follow On</v>
          </cell>
          <cell r="E351">
            <v>0</v>
          </cell>
          <cell r="G351">
            <v>2</v>
          </cell>
          <cell r="I351">
            <v>1</v>
          </cell>
          <cell r="M351">
            <v>-2</v>
          </cell>
          <cell r="O351">
            <v>-2</v>
          </cell>
          <cell r="Q351">
            <v>-2</v>
          </cell>
          <cell r="S351">
            <v>-2</v>
          </cell>
          <cell r="U351">
            <v>-2</v>
          </cell>
          <cell r="W351">
            <v>-2</v>
          </cell>
          <cell r="Y351">
            <v>-2</v>
          </cell>
          <cell r="AB351">
            <v>25</v>
          </cell>
          <cell r="AD351">
            <v>25</v>
          </cell>
          <cell r="AE351">
            <v>25</v>
          </cell>
          <cell r="AF351">
            <v>25</v>
          </cell>
          <cell r="AG351">
            <v>25</v>
          </cell>
        </row>
        <row r="352">
          <cell r="B352">
            <v>44926</v>
          </cell>
          <cell r="C352" t="str">
            <v>Exit</v>
          </cell>
          <cell r="E352">
            <v>0</v>
          </cell>
          <cell r="G352">
            <v>0</v>
          </cell>
          <cell r="I352">
            <v>0</v>
          </cell>
          <cell r="M352">
            <v>102.28126873744391</v>
          </cell>
          <cell r="O352">
            <v>120.66947727792835</v>
          </cell>
          <cell r="Q352">
            <v>144.53163920144118</v>
          </cell>
          <cell r="S352">
            <v>168.39380112495397</v>
          </cell>
          <cell r="U352">
            <v>192.25596304846678</v>
          </cell>
          <cell r="W352">
            <v>216.1181249719796</v>
          </cell>
          <cell r="Y352">
            <v>239.98028689549244</v>
          </cell>
          <cell r="AB352">
            <v>27</v>
          </cell>
          <cell r="AD352">
            <v>27</v>
          </cell>
          <cell r="AE352">
            <v>27</v>
          </cell>
          <cell r="AF352">
            <v>27</v>
          </cell>
          <cell r="AG352">
            <v>27</v>
          </cell>
        </row>
        <row r="353">
          <cell r="B353" t="str">
            <v>IRR</v>
          </cell>
          <cell r="M353">
            <v>0.25885596871376038</v>
          </cell>
          <cell r="O353">
            <v>0.3036171257495881</v>
          </cell>
          <cell r="Q353">
            <v>0.35398367047309875</v>
          </cell>
          <cell r="S353">
            <v>0.39792891144752507</v>
          </cell>
          <cell r="U353">
            <v>0.4370406925678253</v>
          </cell>
          <cell r="W353">
            <v>0.47236967682838449</v>
          </cell>
          <cell r="Y353">
            <v>0.50464952588081369</v>
          </cell>
        </row>
        <row r="355">
          <cell r="A355" t="str">
            <v>AMCP 5.0 -Year IRR</v>
          </cell>
          <cell r="M355">
            <v>0.25885596871376038</v>
          </cell>
          <cell r="O355">
            <v>0.3036171257495881</v>
          </cell>
          <cell r="Q355">
            <v>0.35398367047309875</v>
          </cell>
          <cell r="S355">
            <v>0.39792891144752507</v>
          </cell>
          <cell r="U355">
            <v>0.4370406925678253</v>
          </cell>
          <cell r="W355">
            <v>0.47236967682838449</v>
          </cell>
          <cell r="Y355">
            <v>0.50464952588081369</v>
          </cell>
        </row>
        <row r="356">
          <cell r="A356" t="str">
            <v>AMCP 5.0 -Year MOIC</v>
          </cell>
          <cell r="M356">
            <v>2.8758594148852592</v>
          </cell>
          <cell r="O356">
            <v>3.3928837274187065</v>
          </cell>
          <cell r="Q356">
            <v>4.0638200960651432</v>
          </cell>
          <cell r="S356">
            <v>4.7347564647115785</v>
          </cell>
          <cell r="U356">
            <v>5.4056928333580148</v>
          </cell>
          <cell r="W356">
            <v>6.076629202004451</v>
          </cell>
          <cell r="Y356">
            <v>6.7475655706508881</v>
          </cell>
        </row>
        <row r="359">
          <cell r="G359" t="str">
            <v xml:space="preserve">Pre-Promote MOIC </v>
          </cell>
          <cell r="M359">
            <v>3.0538606732320352</v>
          </cell>
          <cell r="O359">
            <v>3.6587596971318961</v>
          </cell>
          <cell r="Q359">
            <v>4.404244551183492</v>
          </cell>
          <cell r="S359">
            <v>5.149729405235087</v>
          </cell>
          <cell r="U359">
            <v>5.895214259286683</v>
          </cell>
          <cell r="W359">
            <v>6.6406991133382789</v>
          </cell>
          <cell r="Y359">
            <v>7.3861839673898748</v>
          </cell>
        </row>
        <row r="362">
          <cell r="A362" t="str">
            <v>Sensitivity Tables</v>
          </cell>
        </row>
        <row r="364">
          <cell r="C364" t="str">
            <v>Sensitivity Analysis - IRR (a)</v>
          </cell>
          <cell r="I364" t="str">
            <v>EBITDA</v>
          </cell>
          <cell r="M364" t="str">
            <v>Year 5 Exit Sensitivies</v>
          </cell>
          <cell r="AC364" t="str">
            <v>Exit Multiple</v>
          </cell>
        </row>
        <row r="365">
          <cell r="I365" t="str">
            <v>Multiple</v>
          </cell>
          <cell r="K365" t="str">
            <v>EV @ Close</v>
          </cell>
          <cell r="M365">
            <v>3</v>
          </cell>
          <cell r="O365">
            <v>4</v>
          </cell>
          <cell r="Q365">
            <v>5</v>
          </cell>
          <cell r="S365">
            <v>6</v>
          </cell>
          <cell r="U365">
            <v>7</v>
          </cell>
          <cell r="W365">
            <v>8</v>
          </cell>
          <cell r="Y365">
            <v>9</v>
          </cell>
          <cell r="AB365">
            <v>0.25885596871376038</v>
          </cell>
          <cell r="AC365">
            <v>3</v>
          </cell>
          <cell r="AD365">
            <v>4</v>
          </cell>
          <cell r="AE365">
            <v>5</v>
          </cell>
          <cell r="AF365">
            <v>6</v>
          </cell>
          <cell r="AG365">
            <v>7</v>
          </cell>
          <cell r="AH365">
            <v>8</v>
          </cell>
          <cell r="AI365">
            <v>9</v>
          </cell>
        </row>
        <row r="366">
          <cell r="I366">
            <v>2.0507004840766663</v>
          </cell>
          <cell r="K366">
            <v>15</v>
          </cell>
          <cell r="M366">
            <v>0.3084070384502412</v>
          </cell>
          <cell r="O366">
            <v>0.37199507355689998</v>
          </cell>
          <cell r="Q366">
            <v>0.42582677006721503</v>
          </cell>
          <cell r="S366">
            <v>0.47272725701332097</v>
          </cell>
          <cell r="U366">
            <v>0.51442479491233817</v>
          </cell>
          <cell r="W366">
            <v>0.55205870270729074</v>
          </cell>
          <cell r="Y366">
            <v>0.58642230629920966</v>
          </cell>
          <cell r="AB366">
            <v>15</v>
          </cell>
          <cell r="AC366">
            <v>0.3084070384502412</v>
          </cell>
          <cell r="AD366">
            <v>0.37199507355689998</v>
          </cell>
          <cell r="AE366">
            <v>0.42582677006721503</v>
          </cell>
          <cell r="AF366">
            <v>0.47272725701332097</v>
          </cell>
          <cell r="AG366">
            <v>0.51442479491233817</v>
          </cell>
          <cell r="AH366">
            <v>0.55205870270729074</v>
          </cell>
          <cell r="AI366">
            <v>0.58642230629920966</v>
          </cell>
        </row>
        <row r="367">
          <cell r="I367">
            <v>2.3241272152868886</v>
          </cell>
          <cell r="K367">
            <v>17</v>
          </cell>
          <cell r="M367">
            <v>0.28806442618370054</v>
          </cell>
          <cell r="O367">
            <v>0.35032365918159492</v>
          </cell>
          <cell r="Q367">
            <v>0.40306239724159243</v>
          </cell>
          <cell r="S367">
            <v>0.44902992844581602</v>
          </cell>
          <cell r="U367">
            <v>0.48991057276725758</v>
          </cell>
          <cell r="W367">
            <v>0.52681590914726273</v>
          </cell>
          <cell r="Y367">
            <v>0.56052054762840275</v>
          </cell>
          <cell r="AB367">
            <v>17</v>
          </cell>
          <cell r="AC367">
            <v>0.28806442618370054</v>
          </cell>
          <cell r="AD367">
            <v>0.35032365918159492</v>
          </cell>
          <cell r="AE367">
            <v>0.40306239724159243</v>
          </cell>
          <cell r="AF367">
            <v>0.44902992844581602</v>
          </cell>
          <cell r="AG367">
            <v>0.48991057276725758</v>
          </cell>
          <cell r="AH367">
            <v>0.52681590914726273</v>
          </cell>
          <cell r="AI367">
            <v>0.56052054762840275</v>
          </cell>
        </row>
        <row r="368">
          <cell r="I368">
            <v>2.5975539464971105</v>
          </cell>
          <cell r="K368">
            <v>19</v>
          </cell>
          <cell r="M368">
            <v>0.28478520512580863</v>
          </cell>
          <cell r="O368">
            <v>0.33070570826530465</v>
          </cell>
          <cell r="Q368">
            <v>0.38245128989219668</v>
          </cell>
          <cell r="S368">
            <v>0.42757169604301459</v>
          </cell>
          <cell r="U368">
            <v>0.46771106123924255</v>
          </cell>
          <cell r="W368">
            <v>0.50395556092262261</v>
          </cell>
          <cell r="Y368">
            <v>0.53706272244453424</v>
          </cell>
          <cell r="AB368">
            <v>19</v>
          </cell>
          <cell r="AC368">
            <v>0.28478520512580863</v>
          </cell>
          <cell r="AD368">
            <v>0.33070570826530465</v>
          </cell>
          <cell r="AE368">
            <v>0.38245128989219668</v>
          </cell>
          <cell r="AF368">
            <v>0.42757169604301459</v>
          </cell>
          <cell r="AG368">
            <v>0.46771106123924255</v>
          </cell>
          <cell r="AH368">
            <v>0.50395556092262261</v>
          </cell>
          <cell r="AI368">
            <v>0.53706272244453424</v>
          </cell>
        </row>
        <row r="369">
          <cell r="I369">
            <v>2.8709806777073328</v>
          </cell>
          <cell r="K369">
            <v>21</v>
          </cell>
          <cell r="M369">
            <v>0.26766019463539126</v>
          </cell>
          <cell r="O369">
            <v>0.31281535029411323</v>
          </cell>
          <cell r="Q369">
            <v>0.36365129351615921</v>
          </cell>
          <cell r="S369">
            <v>0.40799639821052547</v>
          </cell>
          <cell r="U369">
            <v>0.44745771288871772</v>
          </cell>
          <cell r="W369">
            <v>0.4830980479717254</v>
          </cell>
          <cell r="Y369">
            <v>0.5156591832637788</v>
          </cell>
          <cell r="AB369">
            <v>21</v>
          </cell>
          <cell r="AC369">
            <v>0.26766019463539126</v>
          </cell>
          <cell r="AD369">
            <v>0.31281535029411323</v>
          </cell>
          <cell r="AE369">
            <v>0.36365129351615921</v>
          </cell>
          <cell r="AF369">
            <v>0.40799639821052547</v>
          </cell>
          <cell r="AG369">
            <v>0.44745771288871772</v>
          </cell>
          <cell r="AH369">
            <v>0.4830980479717254</v>
          </cell>
          <cell r="AI369">
            <v>0.5156591832637788</v>
          </cell>
        </row>
        <row r="370">
          <cell r="I370">
            <v>3.1444074089175551</v>
          </cell>
          <cell r="K370">
            <v>23</v>
          </cell>
          <cell r="M370">
            <v>0.25194532275199888</v>
          </cell>
          <cell r="O370">
            <v>0.29639690518379203</v>
          </cell>
          <cell r="Q370">
            <v>0.34639407992362981</v>
          </cell>
          <cell r="S370">
            <v>0.39002478718757627</v>
          </cell>
          <cell r="U370">
            <v>0.42886169552803033</v>
          </cell>
          <cell r="W370">
            <v>0.46394589543342601</v>
          </cell>
          <cell r="Y370">
            <v>0.49600462317466731</v>
          </cell>
          <cell r="AB370">
            <v>23</v>
          </cell>
          <cell r="AC370">
            <v>0.25194532275199888</v>
          </cell>
          <cell r="AD370">
            <v>0.29639690518379203</v>
          </cell>
          <cell r="AE370">
            <v>0.34639407992362981</v>
          </cell>
          <cell r="AF370">
            <v>0.39002478718757627</v>
          </cell>
          <cell r="AG370">
            <v>0.42886169552803033</v>
          </cell>
          <cell r="AH370">
            <v>0.46394589543342601</v>
          </cell>
          <cell r="AI370">
            <v>0.49600462317466731</v>
          </cell>
        </row>
        <row r="371">
          <cell r="I371">
            <v>3.417834140127777</v>
          </cell>
          <cell r="K371">
            <v>25</v>
          </cell>
          <cell r="M371">
            <v>0.23744530081748957</v>
          </cell>
          <cell r="O371">
            <v>0.2812463223934174</v>
          </cell>
          <cell r="Q371">
            <v>0.33046553730964656</v>
          </cell>
          <cell r="S371">
            <v>0.37343413233757017</v>
          </cell>
          <cell r="U371">
            <v>0.41169263720512395</v>
          </cell>
          <cell r="W371">
            <v>0.44626193642616274</v>
          </cell>
          <cell r="Y371">
            <v>0.47785564064979547</v>
          </cell>
          <cell r="AB371">
            <v>25</v>
          </cell>
          <cell r="AC371">
            <v>0.23744530081748957</v>
          </cell>
          <cell r="AD371">
            <v>0.2812463223934174</v>
          </cell>
          <cell r="AE371">
            <v>0.33046553730964656</v>
          </cell>
          <cell r="AF371">
            <v>0.37343413233757017</v>
          </cell>
          <cell r="AG371">
            <v>0.41169263720512395</v>
          </cell>
          <cell r="AH371">
            <v>0.44626193642616274</v>
          </cell>
          <cell r="AI371">
            <v>0.47785564064979547</v>
          </cell>
        </row>
        <row r="372">
          <cell r="I372">
            <v>3.6912608713379993</v>
          </cell>
          <cell r="K372">
            <v>27</v>
          </cell>
          <cell r="M372">
            <v>0.2240018665790558</v>
          </cell>
          <cell r="O372">
            <v>0.26719825863838187</v>
          </cell>
          <cell r="Q372">
            <v>0.31569226384162907</v>
          </cell>
          <cell r="S372">
            <v>0.35804405808448803</v>
          </cell>
          <cell r="U372">
            <v>0.39576403498649604</v>
          </cell>
          <cell r="W372">
            <v>0.4298541247844696</v>
          </cell>
          <cell r="Y372">
            <v>0.46101523041725168</v>
          </cell>
          <cell r="AB372">
            <v>27</v>
          </cell>
          <cell r="AC372">
            <v>0.2240018665790558</v>
          </cell>
          <cell r="AD372">
            <v>0.26719825863838187</v>
          </cell>
          <cell r="AE372">
            <v>0.31569226384162907</v>
          </cell>
          <cell r="AF372">
            <v>0.35804405808448803</v>
          </cell>
          <cell r="AG372">
            <v>0.39576403498649604</v>
          </cell>
          <cell r="AH372">
            <v>0.4298541247844696</v>
          </cell>
          <cell r="AI372">
            <v>0.46101523041725168</v>
          </cell>
        </row>
        <row r="374">
          <cell r="C374" t="str">
            <v>Sensitivity Analysis - MOIC (a)</v>
          </cell>
          <cell r="I374" t="str">
            <v>EBITDA</v>
          </cell>
          <cell r="M374" t="str">
            <v>Year 5 Exit Sensitivies</v>
          </cell>
          <cell r="AC374" t="str">
            <v>Exit Multiple</v>
          </cell>
        </row>
        <row r="375">
          <cell r="I375" t="str">
            <v>Multiple</v>
          </cell>
          <cell r="K375" t="str">
            <v>EV @ Close</v>
          </cell>
          <cell r="M375">
            <v>3</v>
          </cell>
          <cell r="O375">
            <v>4</v>
          </cell>
          <cell r="Q375">
            <v>5</v>
          </cell>
          <cell r="S375">
            <v>6</v>
          </cell>
          <cell r="U375">
            <v>7</v>
          </cell>
          <cell r="W375">
            <v>8</v>
          </cell>
          <cell r="Y375">
            <v>9</v>
          </cell>
          <cell r="AB375">
            <v>2.8758594148852592</v>
          </cell>
          <cell r="AC375">
            <v>3</v>
          </cell>
          <cell r="AD375">
            <v>4</v>
          </cell>
          <cell r="AE375">
            <v>5</v>
          </cell>
          <cell r="AF375">
            <v>6</v>
          </cell>
          <cell r="AG375">
            <v>7</v>
          </cell>
          <cell r="AH375">
            <v>8</v>
          </cell>
          <cell r="AI375">
            <v>9</v>
          </cell>
        </row>
        <row r="376">
          <cell r="I376">
            <v>2.0507004840766663</v>
          </cell>
          <cell r="K376">
            <v>15</v>
          </cell>
          <cell r="M376">
            <v>3.3564716200550406</v>
          </cell>
          <cell r="O376">
            <v>4.1947563428947721</v>
          </cell>
          <cell r="Q376">
            <v>5.0330410657463016</v>
          </cell>
          <cell r="S376">
            <v>5.8713257885979147</v>
          </cell>
          <cell r="U376">
            <v>6.709610511449517</v>
          </cell>
          <cell r="W376">
            <v>7.5478952343011194</v>
          </cell>
          <cell r="Y376">
            <v>8.3861799571527218</v>
          </cell>
          <cell r="AB376">
            <v>15</v>
          </cell>
          <cell r="AC376">
            <v>3.3564716200550406</v>
          </cell>
          <cell r="AD376">
            <v>4.1947563428947721</v>
          </cell>
          <cell r="AE376">
            <v>5.0330410657463016</v>
          </cell>
          <cell r="AF376">
            <v>5.8713257885979147</v>
          </cell>
          <cell r="AG376">
            <v>6.709610511449517</v>
          </cell>
          <cell r="AH376">
            <v>7.5478952343011194</v>
          </cell>
          <cell r="AI376">
            <v>8.3861799571527218</v>
          </cell>
        </row>
        <row r="377">
          <cell r="I377">
            <v>2.3241272152868886</v>
          </cell>
          <cell r="K377">
            <v>17</v>
          </cell>
          <cell r="M377">
            <v>3.1478109655588198</v>
          </cell>
          <cell r="O377">
            <v>3.9310638807292122</v>
          </cell>
          <cell r="Q377">
            <v>4.7143167958996051</v>
          </cell>
          <cell r="S377">
            <v>5.497569711069997</v>
          </cell>
          <cell r="U377">
            <v>6.280822626240389</v>
          </cell>
          <cell r="W377">
            <v>7.0640755414107828</v>
          </cell>
          <cell r="Y377">
            <v>7.8473284565811747</v>
          </cell>
          <cell r="AB377">
            <v>17</v>
          </cell>
          <cell r="AC377">
            <v>3.1478109655588198</v>
          </cell>
          <cell r="AD377">
            <v>3.9310638807292122</v>
          </cell>
          <cell r="AE377">
            <v>4.7143167958996051</v>
          </cell>
          <cell r="AF377">
            <v>5.497569711069997</v>
          </cell>
          <cell r="AG377">
            <v>6.280822626240389</v>
          </cell>
          <cell r="AH377">
            <v>7.0640755414107828</v>
          </cell>
          <cell r="AI377">
            <v>7.8473284565811747</v>
          </cell>
        </row>
        <row r="378">
          <cell r="I378">
            <v>2.5975539464971105</v>
          </cell>
          <cell r="K378">
            <v>19</v>
          </cell>
          <cell r="M378">
            <v>3.1346302679615343</v>
          </cell>
          <cell r="O378">
            <v>3.6998604017379559</v>
          </cell>
          <cell r="Q378">
            <v>4.434861860319165</v>
          </cell>
          <cell r="S378">
            <v>5.169863318900374</v>
          </cell>
          <cell r="U378">
            <v>5.904864777481583</v>
          </cell>
          <cell r="W378">
            <v>6.639866236062792</v>
          </cell>
          <cell r="Y378">
            <v>7.374867694644001</v>
          </cell>
          <cell r="AB378">
            <v>19</v>
          </cell>
          <cell r="AC378">
            <v>3.1346302679615343</v>
          </cell>
          <cell r="AD378">
            <v>3.6998604017379559</v>
          </cell>
          <cell r="AE378">
            <v>4.434861860319165</v>
          </cell>
          <cell r="AF378">
            <v>5.169863318900374</v>
          </cell>
          <cell r="AG378">
            <v>5.904864777481583</v>
          </cell>
          <cell r="AH378">
            <v>6.639866236062792</v>
          </cell>
          <cell r="AI378">
            <v>7.374867694644001</v>
          </cell>
        </row>
        <row r="379">
          <cell r="I379">
            <v>2.8709806777073328</v>
          </cell>
          <cell r="K379">
            <v>21</v>
          </cell>
          <cell r="M379">
            <v>2.9623529866798086</v>
          </cell>
          <cell r="O379">
            <v>3.4954899858277928</v>
          </cell>
          <cell r="Q379">
            <v>4.1878399657442911</v>
          </cell>
          <cell r="S379">
            <v>4.8801899456607876</v>
          </cell>
          <cell r="U379">
            <v>5.5725399255772858</v>
          </cell>
          <cell r="W379">
            <v>6.2648899054937832</v>
          </cell>
          <cell r="Y379">
            <v>6.9572398854102824</v>
          </cell>
          <cell r="AB379">
            <v>21</v>
          </cell>
          <cell r="AC379">
            <v>2.9623529866798086</v>
          </cell>
          <cell r="AD379">
            <v>3.4954899858277928</v>
          </cell>
          <cell r="AE379">
            <v>4.1878399657442911</v>
          </cell>
          <cell r="AF379">
            <v>4.8801899456607876</v>
          </cell>
          <cell r="AG379">
            <v>5.5725399255772858</v>
          </cell>
          <cell r="AH379">
            <v>6.2648899054937832</v>
          </cell>
          <cell r="AI379">
            <v>6.9572398854102824</v>
          </cell>
        </row>
        <row r="380">
          <cell r="I380">
            <v>3.1444074089175551</v>
          </cell>
          <cell r="K380">
            <v>23</v>
          </cell>
          <cell r="M380">
            <v>2.8089732892303383</v>
          </cell>
          <cell r="O380">
            <v>3.3135375407537233</v>
          </cell>
          <cell r="Q380">
            <v>3.9679146037267028</v>
          </cell>
          <cell r="S380">
            <v>4.6222916666996827</v>
          </cell>
          <cell r="U380">
            <v>5.2766687296726635</v>
          </cell>
          <cell r="W380">
            <v>5.9310457926456435</v>
          </cell>
          <cell r="Y380">
            <v>6.5854228556186234</v>
          </cell>
          <cell r="AB380">
            <v>23</v>
          </cell>
          <cell r="AC380">
            <v>2.8089732892303383</v>
          </cell>
          <cell r="AD380">
            <v>3.3135375407537233</v>
          </cell>
          <cell r="AE380">
            <v>3.9679146037267028</v>
          </cell>
          <cell r="AF380">
            <v>4.6222916666996827</v>
          </cell>
          <cell r="AG380">
            <v>5.2766687296726635</v>
          </cell>
          <cell r="AH380">
            <v>5.9310457926456435</v>
          </cell>
          <cell r="AI380">
            <v>6.5854228556186234</v>
          </cell>
        </row>
        <row r="381">
          <cell r="I381">
            <v>3.417834140127777</v>
          </cell>
          <cell r="K381">
            <v>25</v>
          </cell>
          <cell r="M381">
            <v>2.6715434532383453</v>
          </cell>
          <cell r="O381">
            <v>3.1505062197856439</v>
          </cell>
          <cell r="Q381">
            <v>3.7708591463542316</v>
          </cell>
          <cell r="S381">
            <v>4.3912120729228201</v>
          </cell>
          <cell r="U381">
            <v>5.0115649994914078</v>
          </cell>
          <cell r="W381">
            <v>5.6319179260599963</v>
          </cell>
          <cell r="Y381">
            <v>6.252270852628584</v>
          </cell>
          <cell r="AB381">
            <v>25</v>
          </cell>
          <cell r="AC381">
            <v>2.6715434532383453</v>
          </cell>
          <cell r="AD381">
            <v>3.1505062197856439</v>
          </cell>
          <cell r="AE381">
            <v>3.7708591463542316</v>
          </cell>
          <cell r="AF381">
            <v>4.3912120729228201</v>
          </cell>
          <cell r="AG381">
            <v>5.0115649994914078</v>
          </cell>
          <cell r="AH381">
            <v>5.6319179260599963</v>
          </cell>
          <cell r="AI381">
            <v>6.252270852628584</v>
          </cell>
        </row>
        <row r="382">
          <cell r="I382">
            <v>3.6912608713379993</v>
          </cell>
          <cell r="K382">
            <v>27</v>
          </cell>
          <cell r="M382">
            <v>2.5476985194517927</v>
          </cell>
          <cell r="O382">
            <v>3.0035905009049038</v>
          </cell>
          <cell r="Q382">
            <v>3.5932825677720217</v>
          </cell>
          <cell r="S382">
            <v>4.1829746346391383</v>
          </cell>
          <cell r="U382">
            <v>4.7726667015062576</v>
          </cell>
          <cell r="W382">
            <v>5.3623587683733751</v>
          </cell>
          <cell r="Y382">
            <v>5.9520508352404926</v>
          </cell>
          <cell r="AB382">
            <v>27</v>
          </cell>
          <cell r="AC382">
            <v>2.5476985194517927</v>
          </cell>
          <cell r="AD382">
            <v>3.0035905009049038</v>
          </cell>
          <cell r="AE382">
            <v>3.5932825677720217</v>
          </cell>
          <cell r="AF382">
            <v>4.1829746346391383</v>
          </cell>
          <cell r="AG382">
            <v>4.7726667015062576</v>
          </cell>
          <cell r="AH382">
            <v>5.3623587683733751</v>
          </cell>
          <cell r="AI382">
            <v>5.9520508352404926</v>
          </cell>
        </row>
      </sheetData>
      <sheetData sheetId="2">
        <row r="4">
          <cell r="B4" t="str">
            <v>($ millions)</v>
          </cell>
          <cell r="E4">
            <v>42369</v>
          </cell>
          <cell r="G4">
            <v>42735</v>
          </cell>
          <cell r="I4">
            <v>43100</v>
          </cell>
          <cell r="K4">
            <v>43465</v>
          </cell>
          <cell r="M4">
            <v>43830</v>
          </cell>
          <cell r="O4">
            <v>44196</v>
          </cell>
          <cell r="Q4">
            <v>44561</v>
          </cell>
          <cell r="S4">
            <v>44926</v>
          </cell>
          <cell r="U4" t="str">
            <v>CAGR: '17 - '22</v>
          </cell>
        </row>
        <row r="6">
          <cell r="B6" t="str">
            <v>Transports (000s):</v>
          </cell>
          <cell r="E6" t="e">
            <v>#REF!</v>
          </cell>
          <cell r="G6">
            <v>344.89299999999997</v>
          </cell>
          <cell r="I6">
            <v>353.94099999999997</v>
          </cell>
          <cell r="K6">
            <v>355.23038249999996</v>
          </cell>
          <cell r="M6">
            <v>344.31376438124988</v>
          </cell>
          <cell r="O6">
            <v>351.38232433645305</v>
          </cell>
          <cell r="Q6">
            <v>358.60666266109718</v>
          </cell>
          <cell r="S6">
            <v>365.99037822750006</v>
          </cell>
        </row>
        <row r="8">
          <cell r="B8" t="str">
            <v>Florida</v>
          </cell>
          <cell r="E8" t="e">
            <v>#REF!</v>
          </cell>
          <cell r="G8">
            <v>46.500388950000001</v>
          </cell>
          <cell r="I8">
            <v>49.190912970000007</v>
          </cell>
          <cell r="K8">
            <v>50.763240026861247</v>
          </cell>
          <cell r="M8">
            <v>52.383681345746155</v>
          </cell>
          <cell r="O8">
            <v>54.057090840242097</v>
          </cell>
          <cell r="Q8">
            <v>55.785199907589387</v>
          </cell>
          <cell r="S8">
            <v>57.569796540075593</v>
          </cell>
          <cell r="U8">
            <v>3.1957857808236234E-2</v>
          </cell>
          <cell r="V8">
            <v>1</v>
          </cell>
        </row>
        <row r="9">
          <cell r="B9" t="str">
            <v>ETX Mgmt Agreement</v>
          </cell>
          <cell r="E9" t="e">
            <v>#REF!</v>
          </cell>
          <cell r="G9">
            <v>0.72396117787500014</v>
          </cell>
          <cell r="I9">
            <v>0.74270238283992851</v>
          </cell>
          <cell r="K9">
            <v>0.75755643049672705</v>
          </cell>
          <cell r="M9">
            <v>0.77270755910666167</v>
          </cell>
          <cell r="O9">
            <v>0.78816171028879489</v>
          </cell>
          <cell r="Q9">
            <v>0.80392494449457086</v>
          </cell>
          <cell r="S9">
            <v>0.82000344338446218</v>
          </cell>
          <cell r="U9">
            <v>2.0000000000000018E-2</v>
          </cell>
          <cell r="V9">
            <v>2</v>
          </cell>
        </row>
        <row r="10">
          <cell r="B10" t="str">
            <v>Indiana</v>
          </cell>
          <cell r="G10">
            <v>9.7666342400000019</v>
          </cell>
          <cell r="I10">
            <v>10.329119669999999</v>
          </cell>
          <cell r="K10">
            <v>10.6174550446755</v>
          </cell>
          <cell r="M10">
            <v>10.91029203541528</v>
          </cell>
          <cell r="O10">
            <v>11.211225968949012</v>
          </cell>
          <cell r="Q10">
            <v>11.520480725744951</v>
          </cell>
          <cell r="S10">
            <v>11.8382863765663</v>
          </cell>
          <cell r="U10">
            <v>2.7649715919389584E-2</v>
          </cell>
          <cell r="V10">
            <v>3</v>
          </cell>
        </row>
        <row r="11">
          <cell r="B11" t="str">
            <v>South Dakota</v>
          </cell>
          <cell r="E11" t="e">
            <v>#REF!</v>
          </cell>
          <cell r="G11">
            <v>3.9499227299999995</v>
          </cell>
          <cell r="I11">
            <v>4.7793874562566199</v>
          </cell>
          <cell r="K11">
            <v>4.9173105091441158</v>
          </cell>
          <cell r="M11">
            <v>5.0439137139079513</v>
          </cell>
          <cell r="O11">
            <v>5.1740174972835069</v>
          </cell>
          <cell r="Q11">
            <v>5.307718650269396</v>
          </cell>
          <cell r="S11">
            <v>5.4451166401353461</v>
          </cell>
          <cell r="U11">
            <v>2.6424452219762973E-2</v>
          </cell>
          <cell r="V11">
            <v>4</v>
          </cell>
        </row>
        <row r="12">
          <cell r="B12" t="str">
            <v>Waco</v>
          </cell>
          <cell r="E12">
            <v>0</v>
          </cell>
          <cell r="G12">
            <v>7.3208631200000021</v>
          </cell>
          <cell r="I12">
            <v>7.8023961096975523</v>
          </cell>
          <cell r="K12">
            <v>6.038225121334813</v>
          </cell>
          <cell r="M12">
            <v>0</v>
          </cell>
          <cell r="O12">
            <v>0</v>
          </cell>
          <cell r="Q12">
            <v>0</v>
          </cell>
          <cell r="S12">
            <v>0</v>
          </cell>
          <cell r="U12">
            <v>-1</v>
          </cell>
          <cell r="V12">
            <v>5</v>
          </cell>
        </row>
        <row r="13">
          <cell r="B13" t="str">
            <v>Wylie</v>
          </cell>
          <cell r="E13">
            <v>0</v>
          </cell>
          <cell r="G13">
            <v>1.05458593</v>
          </cell>
          <cell r="I13">
            <v>1.5983455762125887</v>
          </cell>
          <cell r="K13">
            <v>1.6368715813948669</v>
          </cell>
          <cell r="M13">
            <v>1.6764628306204352</v>
          </cell>
          <cell r="O13">
            <v>1.71714877788709</v>
          </cell>
          <cell r="Q13">
            <v>1.7589596915956682</v>
          </cell>
          <cell r="S13">
            <v>1.8019266770682887</v>
          </cell>
          <cell r="U13">
            <v>2.4267248918061091E-2</v>
          </cell>
          <cell r="V13">
            <v>6</v>
          </cell>
        </row>
        <row r="14">
          <cell r="B14" t="str">
            <v>California</v>
          </cell>
          <cell r="E14" t="e">
            <v>#REF!</v>
          </cell>
          <cell r="G14">
            <v>56.092201789999997</v>
          </cell>
          <cell r="I14">
            <v>61.427868629062267</v>
          </cell>
          <cell r="K14">
            <v>62.251414161151899</v>
          </cell>
          <cell r="M14">
            <v>63.165071390097644</v>
          </cell>
          <cell r="O14">
            <v>64.092462029265988</v>
          </cell>
          <cell r="Q14">
            <v>65.033792508979317</v>
          </cell>
          <cell r="S14">
            <v>65.989272362465854</v>
          </cell>
          <cell r="U14">
            <v>1.4428818844669511E-2</v>
          </cell>
          <cell r="V14">
            <v>7</v>
          </cell>
        </row>
        <row r="15">
          <cell r="B15" t="str">
            <v xml:space="preserve">Corporate / Other </v>
          </cell>
          <cell r="E15" t="e">
            <v>#REF!</v>
          </cell>
          <cell r="G15">
            <v>1.1625254388136605</v>
          </cell>
          <cell r="I15">
            <v>1.1144568200000002</v>
          </cell>
          <cell r="K15">
            <v>1.1144568200000002</v>
          </cell>
          <cell r="M15">
            <v>1.1144568200000002</v>
          </cell>
          <cell r="O15">
            <v>1.1144568200000002</v>
          </cell>
          <cell r="Q15">
            <v>1.1144568200000002</v>
          </cell>
          <cell r="S15">
            <v>1.1144568200000002</v>
          </cell>
        </row>
        <row r="16">
          <cell r="B16" t="str">
            <v xml:space="preserve">Corporate </v>
          </cell>
          <cell r="E16" t="e">
            <v>#REF!</v>
          </cell>
          <cell r="G16">
            <v>0</v>
          </cell>
          <cell r="I16">
            <v>0</v>
          </cell>
          <cell r="K16">
            <v>0</v>
          </cell>
          <cell r="M16">
            <v>0</v>
          </cell>
          <cell r="O16">
            <v>0</v>
          </cell>
          <cell r="Q16">
            <v>0</v>
          </cell>
          <cell r="S16">
            <v>0</v>
          </cell>
        </row>
        <row r="17">
          <cell r="B17" t="str">
            <v>Fleet Plus</v>
          </cell>
          <cell r="E17" t="e">
            <v>#REF!</v>
          </cell>
          <cell r="G17">
            <v>1.1625254388136605</v>
          </cell>
          <cell r="I17">
            <v>1.1144568200000002</v>
          </cell>
          <cell r="K17">
            <v>1.1144568200000002</v>
          </cell>
          <cell r="M17">
            <v>1.1144568200000002</v>
          </cell>
          <cell r="O17">
            <v>1.1144568200000002</v>
          </cell>
          <cell r="Q17">
            <v>1.1144568200000002</v>
          </cell>
          <cell r="S17">
            <v>1.1144568200000002</v>
          </cell>
        </row>
        <row r="18">
          <cell r="B18" t="str">
            <v>Intercompany Elim.</v>
          </cell>
        </row>
        <row r="19">
          <cell r="B19" t="str">
            <v xml:space="preserve">Total Sales </v>
          </cell>
          <cell r="E19" t="e">
            <v>#REF!</v>
          </cell>
          <cell r="G19">
            <v>126.57108337668866</v>
          </cell>
          <cell r="I19">
            <v>136.98518961406896</v>
          </cell>
          <cell r="K19">
            <v>138.09652969505916</v>
          </cell>
          <cell r="M19">
            <v>135.06658569489412</v>
          </cell>
          <cell r="O19">
            <v>138.15456364391648</v>
          </cell>
          <cell r="Q19">
            <v>141.32453324867328</v>
          </cell>
          <cell r="S19">
            <v>144.57885885969583</v>
          </cell>
          <cell r="U19">
            <v>1.0848882885501565E-2</v>
          </cell>
        </row>
        <row r="21">
          <cell r="B21" t="str">
            <v>PF Sales (1)</v>
          </cell>
          <cell r="E21" t="e">
            <v>#REF!</v>
          </cell>
        </row>
        <row r="23">
          <cell r="B23" t="str">
            <v>Florida</v>
          </cell>
          <cell r="G23">
            <v>9.5729633452596747</v>
          </cell>
          <cell r="I23">
            <v>8.8419483298922863</v>
          </cell>
          <cell r="K23">
            <v>9.2247950253973539</v>
          </cell>
          <cell r="M23">
            <v>9.6622215862677763</v>
          </cell>
          <cell r="O23">
            <v>10.117536550928387</v>
          </cell>
          <cell r="Q23">
            <v>10.591426429178886</v>
          </cell>
          <cell r="S23">
            <v>11.084603132565491</v>
          </cell>
          <cell r="W23">
            <v>0.61795282628652926</v>
          </cell>
        </row>
        <row r="24">
          <cell r="B24" t="str">
            <v xml:space="preserve">% Margin </v>
          </cell>
          <cell r="G24">
            <v>0.20586845747791696</v>
          </cell>
          <cell r="I24">
            <v>0.17974759556271527</v>
          </cell>
          <cell r="K24">
            <v>0.18172195117010018</v>
          </cell>
          <cell r="M24">
            <v>0.18445098431503043</v>
          </cell>
          <cell r="O24">
            <v>0.18716391122173595</v>
          </cell>
          <cell r="Q24">
            <v>0.18986086716053802</v>
          </cell>
          <cell r="S24">
            <v>0.19254198900719158</v>
          </cell>
        </row>
        <row r="25">
          <cell r="B25" t="str">
            <v>ETX Mgmt Agreement</v>
          </cell>
          <cell r="G25">
            <v>1.7239611778750001</v>
          </cell>
          <cell r="I25">
            <v>1.7427023828399288</v>
          </cell>
          <cell r="K25">
            <v>1.7575564304967273</v>
          </cell>
          <cell r="M25">
            <v>1.7727075591066619</v>
          </cell>
          <cell r="O25">
            <v>1.788161710288795</v>
          </cell>
          <cell r="Q25">
            <v>1.8039249444945709</v>
          </cell>
          <cell r="S25">
            <v>1.8200034433844623</v>
          </cell>
        </row>
        <row r="26">
          <cell r="B26" t="str">
            <v xml:space="preserve">% Margin </v>
          </cell>
          <cell r="G26">
            <v>2.3812895367335027</v>
          </cell>
          <cell r="I26">
            <v>2.3464343498888787</v>
          </cell>
          <cell r="K26">
            <v>2.3200336763616458</v>
          </cell>
          <cell r="M26">
            <v>2.2941506630996527</v>
          </cell>
          <cell r="O26">
            <v>2.2687751599016202</v>
          </cell>
          <cell r="Q26">
            <v>2.2438972155898234</v>
          </cell>
          <cell r="S26">
            <v>2.2195070741076703</v>
          </cell>
        </row>
        <row r="27">
          <cell r="B27" t="str">
            <v>Indiana</v>
          </cell>
          <cell r="G27">
            <v>1.1817537013243327</v>
          </cell>
          <cell r="I27">
            <v>1.2289897787014161</v>
          </cell>
          <cell r="K27">
            <v>1.3300815777271109</v>
          </cell>
          <cell r="M27">
            <v>1.4044657497093813</v>
          </cell>
          <cell r="O27">
            <v>1.4815539313243844</v>
          </cell>
          <cell r="Q27">
            <v>1.5614361926755465</v>
          </cell>
          <cell r="S27">
            <v>1.6442054656996352</v>
          </cell>
        </row>
        <row r="28">
          <cell r="B28" t="str">
            <v xml:space="preserve">% Margin </v>
          </cell>
          <cell r="G28">
            <v>0.12099907422399105</v>
          </cell>
          <cell r="I28">
            <v>0.11898301287678045</v>
          </cell>
          <cell r="K28">
            <v>0.12527310660892579</v>
          </cell>
          <cell r="M28">
            <v>0.12872852029537107</v>
          </cell>
          <cell r="O28">
            <v>0.13214914545721815</v>
          </cell>
          <cell r="Q28">
            <v>0.13553568031116853</v>
          </cell>
          <cell r="S28">
            <v>0.13888880648759383</v>
          </cell>
        </row>
        <row r="29">
          <cell r="B29" t="str">
            <v>South Dakota</v>
          </cell>
          <cell r="G29">
            <v>0.73233729256564495</v>
          </cell>
          <cell r="I29">
            <v>1.2169548954015008</v>
          </cell>
          <cell r="K29">
            <v>1.2816064004042331</v>
          </cell>
          <cell r="M29">
            <v>1.329321727998531</v>
          </cell>
          <cell r="O29">
            <v>1.3786640809520185</v>
          </cell>
          <cell r="Q29">
            <v>1.4296847279079465</v>
          </cell>
          <cell r="S29">
            <v>1.4824364960961953</v>
          </cell>
        </row>
        <row r="30">
          <cell r="B30" t="str">
            <v xml:space="preserve">% Margin </v>
          </cell>
          <cell r="G30">
            <v>0.18540547312570974</v>
          </cell>
          <cell r="I30">
            <v>0.2546257039295704</v>
          </cell>
          <cell r="K30">
            <v>0.26063157858772346</v>
          </cell>
          <cell r="M30">
            <v>0.26354965675425718</v>
          </cell>
          <cell r="O30">
            <v>0.26645910681126472</v>
          </cell>
          <cell r="Q30">
            <v>0.26935955390841643</v>
          </cell>
          <cell r="S30">
            <v>0.27225064109174846</v>
          </cell>
        </row>
        <row r="31">
          <cell r="B31" t="str">
            <v>Waco</v>
          </cell>
          <cell r="G31">
            <v>1.1135204999899571</v>
          </cell>
          <cell r="I31">
            <v>1.1578812525274307</v>
          </cell>
          <cell r="K31">
            <v>0.94986981873730958</v>
          </cell>
          <cell r="M31">
            <v>0</v>
          </cell>
          <cell r="O31">
            <v>0</v>
          </cell>
          <cell r="Q31">
            <v>0</v>
          </cell>
          <cell r="S31">
            <v>0</v>
          </cell>
        </row>
        <row r="32">
          <cell r="B32" t="str">
            <v xml:space="preserve">% Margin </v>
          </cell>
          <cell r="G32">
            <v>0.15210235210489179</v>
          </cell>
          <cell r="I32">
            <v>0.14840072668039847</v>
          </cell>
          <cell r="K32">
            <v>0.15730944104437944</v>
          </cell>
          <cell r="M32" t="str">
            <v>NA</v>
          </cell>
          <cell r="O32" t="str">
            <v>NA</v>
          </cell>
          <cell r="Q32" t="str">
            <v>NA</v>
          </cell>
          <cell r="S32" t="str">
            <v>NA</v>
          </cell>
        </row>
        <row r="33">
          <cell r="B33" t="str">
            <v>Wylie</v>
          </cell>
          <cell r="G33">
            <v>0.11052414643694385</v>
          </cell>
          <cell r="I33">
            <v>0.61403432861635554</v>
          </cell>
          <cell r="K33">
            <v>0.61459692878493111</v>
          </cell>
          <cell r="M33">
            <v>0.63030127657562984</v>
          </cell>
          <cell r="O33">
            <v>0.64651833819175231</v>
          </cell>
          <cell r="Q33">
            <v>0.66326402877566371</v>
          </cell>
          <cell r="S33">
            <v>0.68055474444605923</v>
          </cell>
        </row>
        <row r="34">
          <cell r="B34" t="str">
            <v xml:space="preserve">% Margin </v>
          </cell>
          <cell r="G34">
            <v>0.10480335769029636</v>
          </cell>
          <cell r="I34">
            <v>0.38416869152374444</v>
          </cell>
          <cell r="K34">
            <v>0.37547046192909023</v>
          </cell>
          <cell r="M34">
            <v>0.37597092226754841</v>
          </cell>
          <cell r="O34">
            <v>0.37650688543556343</v>
          </cell>
          <cell r="Q34">
            <v>0.37707744637057217</v>
          </cell>
          <cell r="S34">
            <v>0.37768170764490427</v>
          </cell>
        </row>
        <row r="35">
          <cell r="A35">
            <v>7.8086327898366914</v>
          </cell>
          <cell r="B35" t="str">
            <v>California</v>
          </cell>
          <cell r="G35">
            <v>3.1239072695266805</v>
          </cell>
          <cell r="I35">
            <v>4.5704030117906438</v>
          </cell>
          <cell r="K35">
            <v>4.9519365511576323</v>
          </cell>
          <cell r="M35">
            <v>5.0854264445740842</v>
          </cell>
          <cell r="O35">
            <v>5.2212614102119765</v>
          </cell>
          <cell r="Q35">
            <v>5.3594788133897309</v>
          </cell>
          <cell r="S35">
            <v>5.5001165942979569</v>
          </cell>
        </row>
        <row r="36">
          <cell r="B36" t="str">
            <v xml:space="preserve">% Margin </v>
          </cell>
          <cell r="G36">
            <v>5.569236310640964E-2</v>
          </cell>
          <cell r="I36">
            <v>7.4402760730466408E-2</v>
          </cell>
          <cell r="K36">
            <v>7.9547374431340981E-2</v>
          </cell>
          <cell r="M36">
            <v>8.0510103648380016E-2</v>
          </cell>
          <cell r="O36">
            <v>8.1464516183320235E-2</v>
          </cell>
          <cell r="Q36">
            <v>8.2410676151936535E-2</v>
          </cell>
          <cell r="S36">
            <v>8.3348647399639722E-2</v>
          </cell>
        </row>
        <row r="37">
          <cell r="B37" t="str">
            <v xml:space="preserve">Corporate / Other </v>
          </cell>
          <cell r="E37" t="e">
            <v>#REF!</v>
          </cell>
          <cell r="G37">
            <v>-7.1113349893285651</v>
          </cell>
          <cell r="I37">
            <v>-6.993878178142225</v>
          </cell>
          <cell r="K37">
            <v>-6.993878178142225</v>
          </cell>
          <cell r="M37">
            <v>-6.993878178142225</v>
          </cell>
          <cell r="O37">
            <v>-6.993878178142225</v>
          </cell>
          <cell r="Q37">
            <v>-6.993878178142225</v>
          </cell>
          <cell r="S37">
            <v>-6.993878178142225</v>
          </cell>
        </row>
        <row r="38">
          <cell r="B38" t="str">
            <v xml:space="preserve">Corporate </v>
          </cell>
          <cell r="E38" t="e">
            <v>#REF!</v>
          </cell>
          <cell r="G38">
            <v>-6.6038879781422253</v>
          </cell>
          <cell r="I38">
            <v>-6.6038879781422253</v>
          </cell>
          <cell r="K38">
            <v>-6.6038879781422253</v>
          </cell>
          <cell r="M38">
            <v>-6.6038879781422253</v>
          </cell>
          <cell r="O38">
            <v>-6.6038879781422253</v>
          </cell>
          <cell r="Q38">
            <v>-6.6038879781422253</v>
          </cell>
          <cell r="S38">
            <v>-6.6038879781422253</v>
          </cell>
        </row>
        <row r="39">
          <cell r="B39" t="str">
            <v>Fleet Plus</v>
          </cell>
          <cell r="E39" t="e">
            <v>#REF!</v>
          </cell>
          <cell r="G39">
            <v>-0.5074470111863395</v>
          </cell>
          <cell r="I39">
            <v>-0.38999019999999973</v>
          </cell>
          <cell r="K39">
            <v>-0.38999019999999973</v>
          </cell>
          <cell r="M39">
            <v>-0.38999019999999973</v>
          </cell>
          <cell r="O39">
            <v>-0.38999019999999973</v>
          </cell>
          <cell r="Q39">
            <v>-0.38999019999999973</v>
          </cell>
          <cell r="S39">
            <v>-0.38999019999999973</v>
          </cell>
        </row>
        <row r="40">
          <cell r="B40" t="str">
            <v>Intercompany Elim.</v>
          </cell>
        </row>
        <row r="41">
          <cell r="B41" t="str">
            <v xml:space="preserve">Total Adj. EBITDA </v>
          </cell>
          <cell r="E41" t="e">
            <v>#REF!</v>
          </cell>
          <cell r="G41">
            <v>10.447632443649667</v>
          </cell>
          <cell r="I41">
            <v>12.379035801627335</v>
          </cell>
          <cell r="K41">
            <v>13.116564554563073</v>
          </cell>
          <cell r="M41">
            <v>12.89056616608984</v>
          </cell>
          <cell r="O41">
            <v>13.639817843755086</v>
          </cell>
          <cell r="Q41">
            <v>14.415336958280122</v>
          </cell>
          <cell r="S41">
            <v>15.218041698347573</v>
          </cell>
          <cell r="U41">
            <v>4.2159976053411485E-2</v>
          </cell>
        </row>
        <row r="42">
          <cell r="B42" t="str">
            <v xml:space="preserve">% Margin </v>
          </cell>
          <cell r="E42" t="str">
            <v>NA</v>
          </cell>
          <cell r="G42">
            <v>8.2543596569813901E-2</v>
          </cell>
          <cell r="I42">
            <v>9.0367694759579731E-2</v>
          </cell>
          <cell r="K42">
            <v>9.4981130833096963E-2</v>
          </cell>
          <cell r="M42">
            <v>9.5438602373563511E-2</v>
          </cell>
          <cell r="O42">
            <v>9.872868100767733E-2</v>
          </cell>
          <cell r="Q42">
            <v>0.10200165977491703</v>
          </cell>
          <cell r="S42">
            <v>0.1052577245274544</v>
          </cell>
        </row>
        <row r="43">
          <cell r="B43" t="str">
            <v>Total PF EBITDA (1)</v>
          </cell>
          <cell r="E43" t="e">
            <v>#REF!</v>
          </cell>
        </row>
        <row r="44">
          <cell r="B44" t="str">
            <v xml:space="preserve">% Margin </v>
          </cell>
          <cell r="E44" t="str">
            <v>NA</v>
          </cell>
          <cell r="G44" t="str">
            <v>NA</v>
          </cell>
          <cell r="I44" t="str">
            <v>NA</v>
          </cell>
          <cell r="K44" t="str">
            <v>NA</v>
          </cell>
          <cell r="M44" t="str">
            <v>NA</v>
          </cell>
          <cell r="O44" t="str">
            <v>NA</v>
          </cell>
          <cell r="Q44" t="str">
            <v>NA</v>
          </cell>
          <cell r="S44" t="str">
            <v>NA</v>
          </cell>
        </row>
        <row r="45">
          <cell r="B45" t="str">
            <v xml:space="preserve">Valuation EBITDA </v>
          </cell>
          <cell r="E45" t="e">
            <v>#REF!</v>
          </cell>
          <cell r="I45">
            <v>7.3145737841641916</v>
          </cell>
        </row>
        <row r="47">
          <cell r="B47" t="str">
            <v>Florida</v>
          </cell>
          <cell r="G47">
            <v>9.356471815259674</v>
          </cell>
          <cell r="I47">
            <v>7.3866613298922861</v>
          </cell>
          <cell r="K47">
            <v>7.6767950253973538</v>
          </cell>
          <cell r="M47">
            <v>8.390221586267776</v>
          </cell>
          <cell r="O47">
            <v>8.6945365509283867</v>
          </cell>
          <cell r="Q47">
            <v>9.0174264291788866</v>
          </cell>
          <cell r="S47">
            <v>9.6303531325654905</v>
          </cell>
        </row>
        <row r="48">
          <cell r="B48" t="str">
            <v>ETX Mgmt Agreement</v>
          </cell>
          <cell r="G48">
            <v>1.7239611778750001</v>
          </cell>
          <cell r="I48">
            <v>1.7427023828399288</v>
          </cell>
          <cell r="K48">
            <v>1.7575564304967273</v>
          </cell>
          <cell r="M48">
            <v>1.7727075591066619</v>
          </cell>
          <cell r="O48">
            <v>1.788161710288795</v>
          </cell>
          <cell r="Q48">
            <v>1.8039249444945709</v>
          </cell>
          <cell r="S48">
            <v>1.8200034433844623</v>
          </cell>
        </row>
        <row r="49">
          <cell r="B49" t="str">
            <v>Indiana</v>
          </cell>
          <cell r="G49">
            <v>0.85919124132433256</v>
          </cell>
          <cell r="I49">
            <v>0.78069977870141605</v>
          </cell>
          <cell r="K49">
            <v>0.88908157772711083</v>
          </cell>
          <cell r="M49">
            <v>1.1474657497093812</v>
          </cell>
          <cell r="O49">
            <v>1.4815539313243844</v>
          </cell>
          <cell r="Q49">
            <v>1.5614361926755465</v>
          </cell>
          <cell r="S49">
            <v>1.4697054656996351</v>
          </cell>
        </row>
        <row r="50">
          <cell r="B50" t="str">
            <v>South Dakota</v>
          </cell>
          <cell r="G50">
            <v>0.73233729256564495</v>
          </cell>
          <cell r="I50">
            <v>1.2169548954015008</v>
          </cell>
          <cell r="K50">
            <v>1.2816064004042331</v>
          </cell>
          <cell r="M50">
            <v>1.069321727998531</v>
          </cell>
          <cell r="O50">
            <v>1.1956640809520185</v>
          </cell>
          <cell r="Q50">
            <v>0.85368472790794658</v>
          </cell>
          <cell r="S50">
            <v>1.2276864960961953</v>
          </cell>
        </row>
        <row r="51">
          <cell r="B51" t="str">
            <v>Waco</v>
          </cell>
          <cell r="E51" t="e">
            <v>#REF!</v>
          </cell>
          <cell r="G51">
            <v>0.71352049998995704</v>
          </cell>
          <cell r="I51">
            <v>0.75788125252743066</v>
          </cell>
          <cell r="K51">
            <v>0.94986981873730958</v>
          </cell>
          <cell r="M51">
            <v>0</v>
          </cell>
          <cell r="O51">
            <v>0</v>
          </cell>
          <cell r="Q51">
            <v>0</v>
          </cell>
          <cell r="S51">
            <v>0</v>
          </cell>
        </row>
        <row r="52">
          <cell r="B52" t="str">
            <v>Wylie</v>
          </cell>
          <cell r="E52" t="e">
            <v>#REF!</v>
          </cell>
          <cell r="G52">
            <v>1.052414643694384E-2</v>
          </cell>
          <cell r="I52">
            <v>0.51403432861635556</v>
          </cell>
          <cell r="K52">
            <v>0.51459692878493113</v>
          </cell>
          <cell r="M52">
            <v>0.53030127657562987</v>
          </cell>
          <cell r="O52">
            <v>0.54651833819175233</v>
          </cell>
          <cell r="Q52">
            <v>0.56326402877566373</v>
          </cell>
          <cell r="S52">
            <v>0.58055474444605926</v>
          </cell>
        </row>
        <row r="53">
          <cell r="B53" t="str">
            <v>California</v>
          </cell>
          <cell r="E53" t="e">
            <v>#REF!</v>
          </cell>
          <cell r="G53">
            <v>3.1118094695266807</v>
          </cell>
          <cell r="I53">
            <v>2.7239335477906437</v>
          </cell>
          <cell r="K53">
            <v>3.1059365511576322</v>
          </cell>
          <cell r="M53">
            <v>-3.4505735554259154</v>
          </cell>
          <cell r="O53">
            <v>5.2212614102119765</v>
          </cell>
          <cell r="Q53">
            <v>5.3594788133897309</v>
          </cell>
          <cell r="S53">
            <v>2.9046165942979569</v>
          </cell>
        </row>
        <row r="54">
          <cell r="B54" t="str">
            <v xml:space="preserve">Corporate / Other </v>
          </cell>
          <cell r="G54">
            <v>-10.358834989328566</v>
          </cell>
          <cell r="I54">
            <v>-6.993878178142225</v>
          </cell>
          <cell r="K54">
            <v>-6.993878178142225</v>
          </cell>
          <cell r="M54">
            <v>-6.993878178142225</v>
          </cell>
          <cell r="O54">
            <v>-6.993878178142225</v>
          </cell>
          <cell r="Q54">
            <v>-6.993878178142225</v>
          </cell>
          <cell r="S54">
            <v>-6.993878178142225</v>
          </cell>
        </row>
        <row r="55">
          <cell r="B55" t="str">
            <v xml:space="preserve">Corporate </v>
          </cell>
          <cell r="E55" t="e">
            <v>#REF!</v>
          </cell>
          <cell r="G55">
            <v>-9.8513879781422258</v>
          </cell>
          <cell r="I55">
            <v>-6.6038879781422253</v>
          </cell>
          <cell r="K55">
            <v>-6.6038879781422253</v>
          </cell>
          <cell r="M55">
            <v>-6.6038879781422253</v>
          </cell>
          <cell r="O55">
            <v>-6.6038879781422253</v>
          </cell>
          <cell r="Q55">
            <v>-6.6038879781422253</v>
          </cell>
          <cell r="S55">
            <v>-6.6038879781422253</v>
          </cell>
        </row>
        <row r="56">
          <cell r="B56" t="str">
            <v>Fleet Plus</v>
          </cell>
          <cell r="E56" t="e">
            <v>#REF!</v>
          </cell>
          <cell r="G56">
            <v>-0.5074470111863395</v>
          </cell>
          <cell r="I56">
            <v>-0.38999019999999973</v>
          </cell>
          <cell r="K56">
            <v>-0.38999019999999973</v>
          </cell>
          <cell r="M56">
            <v>-0.38999019999999973</v>
          </cell>
          <cell r="O56">
            <v>-0.38999019999999973</v>
          </cell>
          <cell r="Q56">
            <v>-0.38999019999999973</v>
          </cell>
          <cell r="S56">
            <v>-0.38999019999999973</v>
          </cell>
        </row>
        <row r="57">
          <cell r="B57" t="str">
            <v>Total OCF</v>
          </cell>
          <cell r="E57" t="e">
            <v>#REF!</v>
          </cell>
          <cell r="G57">
            <v>6.1489806536496712</v>
          </cell>
          <cell r="I57">
            <v>8.1289893376273383</v>
          </cell>
          <cell r="K57">
            <v>9.1815645545630709</v>
          </cell>
          <cell r="M57">
            <v>2.4655661660898396</v>
          </cell>
          <cell r="O57">
            <v>11.93381784375509</v>
          </cell>
          <cell r="Q57">
            <v>12.165336958280122</v>
          </cell>
          <cell r="S57">
            <v>10.639041698347576</v>
          </cell>
          <cell r="U57">
            <v>5.5293325738415833E-2</v>
          </cell>
        </row>
        <row r="58">
          <cell r="B58" t="str">
            <v xml:space="preserve">% Margin </v>
          </cell>
          <cell r="E58" t="str">
            <v>NA</v>
          </cell>
          <cell r="G58">
            <v>4.8581243753359267E-2</v>
          </cell>
          <cell r="I58">
            <v>5.9342103774351798E-2</v>
          </cell>
          <cell r="K58">
            <v>6.648656975550031E-2</v>
          </cell>
          <cell r="M58">
            <v>1.825444948804273E-2</v>
          </cell>
          <cell r="O58">
            <v>8.63801927999545E-2</v>
          </cell>
          <cell r="Q58">
            <v>8.6080857149367779E-2</v>
          </cell>
          <cell r="S58">
            <v>7.3586427381281655E-2</v>
          </cell>
        </row>
        <row r="59">
          <cell r="B59" t="str">
            <v>Total PF OCF (1)</v>
          </cell>
          <cell r="E59" t="e">
            <v>#REF!</v>
          </cell>
        </row>
        <row r="60">
          <cell r="B60" t="str">
            <v xml:space="preserve">% Margin </v>
          </cell>
          <cell r="E60" t="str">
            <v>NA</v>
          </cell>
          <cell r="G60" t="str">
            <v>NA</v>
          </cell>
          <cell r="I60" t="str">
            <v>NA</v>
          </cell>
          <cell r="K60" t="str">
            <v>NA</v>
          </cell>
          <cell r="M60" t="str">
            <v>NA</v>
          </cell>
          <cell r="O60" t="str">
            <v>NA</v>
          </cell>
          <cell r="Q60" t="str">
            <v>NA</v>
          </cell>
          <cell r="S60" t="str">
            <v>NA</v>
          </cell>
        </row>
        <row r="67">
          <cell r="B67" t="str">
            <v xml:space="preserve">(1) PF EBITDA run-rates EBITDA trajectory for CA contract. </v>
          </cell>
        </row>
      </sheetData>
      <sheetData sheetId="3">
        <row r="1">
          <cell r="A1" t="str">
            <v>Paramedics Plus - Model</v>
          </cell>
        </row>
        <row r="2">
          <cell r="A2" t="str">
            <v>($ in millions)</v>
          </cell>
        </row>
        <row r="4">
          <cell r="A4" t="str">
            <v>ASSUMPTIONS AND CONTROLS</v>
          </cell>
        </row>
        <row r="6">
          <cell r="A6" t="str">
            <v>Sources and Uses</v>
          </cell>
        </row>
        <row r="7">
          <cell r="E7" t="str">
            <v>Mult. of</v>
          </cell>
          <cell r="G7" t="str">
            <v>Mult. of</v>
          </cell>
          <cell r="M7" t="str">
            <v>Mult. of</v>
          </cell>
          <cell r="N7" t="str">
            <v>Mult. of</v>
          </cell>
        </row>
        <row r="8">
          <cell r="E8" t="str">
            <v>Adjusted</v>
          </cell>
          <cell r="G8" t="str">
            <v>Pro Forma</v>
          </cell>
          <cell r="I8" t="str">
            <v>%</v>
          </cell>
          <cell r="M8" t="str">
            <v>Adjusted</v>
          </cell>
          <cell r="N8" t="str">
            <v>Pro Forma</v>
          </cell>
          <cell r="O8" t="str">
            <v>%</v>
          </cell>
        </row>
        <row r="9">
          <cell r="A9" t="str">
            <v>Sources</v>
          </cell>
          <cell r="C9" t="str">
            <v>$</v>
          </cell>
          <cell r="E9" t="str">
            <v>EBITDA</v>
          </cell>
          <cell r="G9" t="str">
            <v>EBITDA</v>
          </cell>
          <cell r="I9" t="str">
            <v>of Total</v>
          </cell>
          <cell r="J9" t="str">
            <v>Uses</v>
          </cell>
          <cell r="L9" t="str">
            <v>$</v>
          </cell>
          <cell r="M9" t="str">
            <v>EBITDA</v>
          </cell>
          <cell r="N9" t="str">
            <v>EBITDA</v>
          </cell>
          <cell r="O9" t="str">
            <v>of Total</v>
          </cell>
        </row>
        <row r="10">
          <cell r="A10" t="str">
            <v>Financing</v>
          </cell>
          <cell r="C10">
            <v>0</v>
          </cell>
          <cell r="E10">
            <v>0</v>
          </cell>
          <cell r="G10">
            <v>0</v>
          </cell>
          <cell r="I10">
            <v>0</v>
          </cell>
          <cell r="J10" t="str">
            <v>Purchase Price</v>
          </cell>
          <cell r="L10">
            <v>22.1</v>
          </cell>
          <cell r="M10">
            <v>1.7750337926966915</v>
          </cell>
          <cell r="N10">
            <v>3.0213653798729552</v>
          </cell>
          <cell r="O10">
            <v>0.72267273546083821</v>
          </cell>
        </row>
        <row r="11">
          <cell r="A11" t="str">
            <v>Equity</v>
          </cell>
          <cell r="C11">
            <v>30.580924000000003</v>
          </cell>
          <cell r="E11">
            <v>2.4562069462393339</v>
          </cell>
          <cell r="G11">
            <v>4.1808210433541166</v>
          </cell>
          <cell r="I11">
            <v>1</v>
          </cell>
          <cell r="J11" t="str">
            <v>Cash Funded to B/S</v>
          </cell>
          <cell r="L11">
            <v>2</v>
          </cell>
          <cell r="M11">
            <v>0.16063654232549243</v>
          </cell>
          <cell r="N11">
            <v>0.27342673121022215</v>
          </cell>
          <cell r="O11">
            <v>6.540024755301703E-2</v>
          </cell>
        </row>
        <row r="12">
          <cell r="J12" t="str">
            <v>Estimated Fees</v>
          </cell>
          <cell r="L12">
            <v>6.4809239999999999</v>
          </cell>
          <cell r="M12">
            <v>0.52053661121714989</v>
          </cell>
          <cell r="N12">
            <v>0.88602893227093893</v>
          </cell>
          <cell r="O12">
            <v>0.21192701698614466</v>
          </cell>
        </row>
        <row r="13">
          <cell r="A13" t="str">
            <v>Total</v>
          </cell>
          <cell r="C13">
            <v>30.580924000000003</v>
          </cell>
          <cell r="E13">
            <v>2.4562069462393339</v>
          </cell>
          <cell r="G13">
            <v>4.1808210433541166</v>
          </cell>
          <cell r="I13">
            <v>1</v>
          </cell>
          <cell r="J13" t="str">
            <v>Total</v>
          </cell>
          <cell r="L13">
            <v>30.580924000000003</v>
          </cell>
          <cell r="M13">
            <v>2.4562069462393339</v>
          </cell>
          <cell r="N13">
            <v>4.1808210433541166</v>
          </cell>
          <cell r="O13">
            <v>1</v>
          </cell>
        </row>
        <row r="15">
          <cell r="A15" t="str">
            <v>Debt Structure</v>
          </cell>
          <cell r="G15" t="str">
            <v>Transaction Accounting</v>
          </cell>
          <cell r="M15" t="str">
            <v>Other Assumptions</v>
          </cell>
        </row>
        <row r="16">
          <cell r="A16" t="str">
            <v>LTM 10/2017 Adjusted EBITDA</v>
          </cell>
          <cell r="E16">
            <v>12.45046719162734</v>
          </cell>
          <cell r="G16" t="str">
            <v>Purchase Price (excl deal transaction fees)</v>
          </cell>
          <cell r="K16">
            <v>22.1</v>
          </cell>
          <cell r="M16" t="str">
            <v>Tax Rate</v>
          </cell>
          <cell r="P16">
            <v>0.4</v>
          </cell>
        </row>
        <row r="17">
          <cell r="A17" t="str">
            <v>LTM 10/2017 Pro Forma EBITDA</v>
          </cell>
          <cell r="E17">
            <v>7.3145737841641916</v>
          </cell>
          <cell r="G17" t="str">
            <v>Refinanced Debt (net)</v>
          </cell>
          <cell r="K17">
            <v>-2.3538741600000002</v>
          </cell>
          <cell r="M17" t="str">
            <v>Exit Year</v>
          </cell>
          <cell r="P17">
            <v>5</v>
          </cell>
        </row>
        <row r="18">
          <cell r="A18" t="str">
            <v>Revolver Commitment</v>
          </cell>
          <cell r="E18">
            <v>15</v>
          </cell>
          <cell r="G18" t="str">
            <v>Equity Purchase Price</v>
          </cell>
          <cell r="K18">
            <v>24.453874160000002</v>
          </cell>
          <cell r="M18" t="str">
            <v>Annual Monitoring Fee</v>
          </cell>
          <cell r="P18">
            <v>0.25</v>
          </cell>
        </row>
        <row r="19">
          <cell r="A19" t="str">
            <v>% Drawn at Closing</v>
          </cell>
          <cell r="E19">
            <v>0</v>
          </cell>
          <cell r="G19" t="str">
            <v>Book Value of Equity</v>
          </cell>
          <cell r="K19">
            <v>12.111302759999999</v>
          </cell>
          <cell r="M19" t="str">
            <v>A&amp;M Post-Merger Consulting Fee</v>
          </cell>
        </row>
        <row r="20">
          <cell r="A20" t="str">
            <v>Revolver Outstanding at Close</v>
          </cell>
          <cell r="E20">
            <v>0</v>
          </cell>
          <cell r="G20" t="str">
            <v>Less: Book Value of Goodwill</v>
          </cell>
          <cell r="K20">
            <v>0</v>
          </cell>
          <cell r="M20" t="str">
            <v>Year 1</v>
          </cell>
          <cell r="P20">
            <v>3</v>
          </cell>
        </row>
        <row r="21">
          <cell r="A21" t="str">
            <v>LoC Charge Spread over LIBOR</v>
          </cell>
          <cell r="E21">
            <v>0</v>
          </cell>
          <cell r="G21" t="str">
            <v>Tangible Book Value</v>
          </cell>
          <cell r="K21">
            <v>12.111302759999999</v>
          </cell>
          <cell r="M21" t="str">
            <v>Year 2</v>
          </cell>
          <cell r="P21">
            <v>2</v>
          </cell>
        </row>
        <row r="22">
          <cell r="A22" t="str">
            <v>Letters of Credit</v>
          </cell>
          <cell r="E22">
            <v>0</v>
          </cell>
          <cell r="G22" t="str">
            <v>Goodwill/Intangibles Created</v>
          </cell>
          <cell r="K22">
            <v>12.342571400000002</v>
          </cell>
        </row>
        <row r="23">
          <cell r="A23" t="str">
            <v>Undrawn Revolver Fee</v>
          </cell>
          <cell r="E23">
            <v>0</v>
          </cell>
          <cell r="G23" t="str">
            <v>Tax Rate</v>
          </cell>
          <cell r="K23">
            <v>0.4</v>
          </cell>
          <cell r="M23" t="str">
            <v>Fees</v>
          </cell>
        </row>
        <row r="24">
          <cell r="A24" t="str">
            <v>Interest on Revolver</v>
          </cell>
          <cell r="E24">
            <v>0</v>
          </cell>
          <cell r="G24" t="str">
            <v>Pro Forma Goodwill</v>
          </cell>
          <cell r="K24">
            <v>12.342571400000002</v>
          </cell>
          <cell r="M24" t="str">
            <v>Revolver Fee %</v>
          </cell>
        </row>
        <row r="25">
          <cell r="A25" t="str">
            <v>Floor on Revolver</v>
          </cell>
          <cell r="E25">
            <v>0</v>
          </cell>
          <cell r="G25" t="str">
            <v>Goodwill Amortization Period (Years)</v>
          </cell>
          <cell r="K25">
            <v>15</v>
          </cell>
          <cell r="M25" t="str">
            <v>Estimated Financing Fees</v>
          </cell>
          <cell r="P25">
            <v>0</v>
          </cell>
        </row>
        <row r="26">
          <cell r="A26" t="str">
            <v>Interest on Cash</v>
          </cell>
          <cell r="E26">
            <v>0</v>
          </cell>
          <cell r="G26" t="str">
            <v>Goodwill Amortization</v>
          </cell>
          <cell r="K26">
            <v>0.82283809333333346</v>
          </cell>
          <cell r="M26" t="str">
            <v>Estimated Deal Transaction Fees</v>
          </cell>
          <cell r="P26">
            <v>6.4809239999999999</v>
          </cell>
        </row>
        <row r="27">
          <cell r="G27" t="str">
            <v>Financing Fees Amortization Years</v>
          </cell>
          <cell r="K27">
            <v>7</v>
          </cell>
          <cell r="M27" t="str">
            <v>Total Estimated Fees</v>
          </cell>
          <cell r="P27">
            <v>6.4809239999999999</v>
          </cell>
        </row>
        <row r="28">
          <cell r="G28" t="str">
            <v>Estimated Transaction Fees</v>
          </cell>
          <cell r="K28">
            <v>6.4809239999999999</v>
          </cell>
        </row>
        <row r="29">
          <cell r="G29" t="str">
            <v>Financing Fees Amortization</v>
          </cell>
          <cell r="K29">
            <v>0.92584628571428573</v>
          </cell>
          <cell r="M29" t="str">
            <v>Cash Funded to B/S</v>
          </cell>
          <cell r="P29">
            <v>2</v>
          </cell>
        </row>
        <row r="31">
          <cell r="G31" t="str">
            <v>Estimated Purchase Price</v>
          </cell>
        </row>
        <row r="32">
          <cell r="I32" t="str">
            <v>LTM 10/17 Adj. EBITDA</v>
          </cell>
          <cell r="J32" t="str">
            <v>EV Mult.</v>
          </cell>
          <cell r="K32" t="str">
            <v xml:space="preserve">Estimated EV </v>
          </cell>
        </row>
        <row r="33">
          <cell r="G33" t="str">
            <v>Paramedics Plus</v>
          </cell>
          <cell r="I33">
            <v>7.3145737841641916</v>
          </cell>
          <cell r="J33">
            <v>3.0213653798729552</v>
          </cell>
          <cell r="K33">
            <v>22.1</v>
          </cell>
        </row>
        <row r="36">
          <cell r="A36" t="str">
            <v>INCOME STATEMENT</v>
          </cell>
        </row>
        <row r="38">
          <cell r="K38">
            <v>1</v>
          </cell>
          <cell r="L38">
            <v>2</v>
          </cell>
          <cell r="M38">
            <v>3</v>
          </cell>
          <cell r="N38">
            <v>4</v>
          </cell>
          <cell r="O38">
            <v>5</v>
          </cell>
          <cell r="P38" t="str">
            <v>CAGR</v>
          </cell>
        </row>
        <row r="39">
          <cell r="I39">
            <v>42735</v>
          </cell>
          <cell r="J39">
            <v>43100</v>
          </cell>
          <cell r="K39">
            <v>43465</v>
          </cell>
          <cell r="L39">
            <v>43830</v>
          </cell>
          <cell r="M39">
            <v>44196</v>
          </cell>
          <cell r="N39">
            <v>44561</v>
          </cell>
          <cell r="O39">
            <v>44926</v>
          </cell>
          <cell r="P39" t="str">
            <v>'17-'20</v>
          </cell>
        </row>
        <row r="41">
          <cell r="A41" t="str">
            <v>REVENUE:</v>
          </cell>
        </row>
        <row r="42">
          <cell r="A42" t="str">
            <v>Florida</v>
          </cell>
          <cell r="I42">
            <v>46.500388950000001</v>
          </cell>
          <cell r="J42">
            <v>49.190912970000007</v>
          </cell>
          <cell r="K42">
            <v>50.763240026861247</v>
          </cell>
          <cell r="L42">
            <v>52.383681345746155</v>
          </cell>
          <cell r="M42">
            <v>54.057090840242097</v>
          </cell>
          <cell r="N42">
            <v>55.785199907589387</v>
          </cell>
          <cell r="O42">
            <v>57.569796540075593</v>
          </cell>
          <cell r="P42">
            <v>3.1957857808236234E-2</v>
          </cell>
        </row>
        <row r="43">
          <cell r="A43" t="str">
            <v>% Growth</v>
          </cell>
          <cell r="J43">
            <v>5.7860247639928808E-2</v>
          </cell>
          <cell r="K43">
            <v>3.1963770581370454E-2</v>
          </cell>
          <cell r="L43">
            <v>3.1921550279837341E-2</v>
          </cell>
          <cell r="M43">
            <v>3.1945244234573789E-2</v>
          </cell>
          <cell r="N43">
            <v>3.1968221753820636E-2</v>
          </cell>
          <cell r="O43">
            <v>3.1990503492726807E-2</v>
          </cell>
        </row>
        <row r="44">
          <cell r="A44" t="str">
            <v>ETX Mgmt. Agreement</v>
          </cell>
          <cell r="I44">
            <v>0.72396117787500014</v>
          </cell>
          <cell r="J44">
            <v>0.74270238283992851</v>
          </cell>
          <cell r="K44">
            <v>0.75755643049672705</v>
          </cell>
          <cell r="L44">
            <v>0.77270755910666167</v>
          </cell>
          <cell r="M44">
            <v>0.78816171028879489</v>
          </cell>
          <cell r="N44">
            <v>0.80392494449457086</v>
          </cell>
          <cell r="O44">
            <v>0.82000344338446218</v>
          </cell>
          <cell r="P44">
            <v>2.0000000000000018E-2</v>
          </cell>
        </row>
        <row r="45">
          <cell r="A45" t="str">
            <v>% Growth</v>
          </cell>
          <cell r="J45">
            <v>2.5887030323833438E-2</v>
          </cell>
          <cell r="K45">
            <v>2.0000000000000018E-2</v>
          </cell>
          <cell r="L45">
            <v>2.0000000000000018E-2</v>
          </cell>
          <cell r="M45">
            <v>2.0000000000000018E-2</v>
          </cell>
          <cell r="N45">
            <v>2.0000000000000018E-2</v>
          </cell>
          <cell r="O45">
            <v>1.9999999999999796E-2</v>
          </cell>
        </row>
        <row r="46">
          <cell r="A46" t="str">
            <v>Indiana</v>
          </cell>
          <cell r="I46">
            <v>9.7666342400000019</v>
          </cell>
          <cell r="J46">
            <v>10.329119669999999</v>
          </cell>
          <cell r="K46">
            <v>10.6174550446755</v>
          </cell>
          <cell r="L46">
            <v>10.91029203541528</v>
          </cell>
          <cell r="M46">
            <v>11.211225968949012</v>
          </cell>
          <cell r="N46">
            <v>11.520480725744951</v>
          </cell>
          <cell r="O46">
            <v>11.8382863765663</v>
          </cell>
          <cell r="P46">
            <v>2.7649715919389584E-2</v>
          </cell>
        </row>
        <row r="47">
          <cell r="A47" t="str">
            <v>% Growth</v>
          </cell>
          <cell r="J47">
            <v>5.7592556061564659E-2</v>
          </cell>
          <cell r="K47">
            <v>2.7914806284309535E-2</v>
          </cell>
          <cell r="L47">
            <v>2.7580713975957183E-2</v>
          </cell>
          <cell r="M47">
            <v>2.75825736430233E-2</v>
          </cell>
          <cell r="N47">
            <v>2.7584383514564825E-2</v>
          </cell>
          <cell r="O47">
            <v>2.7586144917645994E-2</v>
          </cell>
        </row>
        <row r="48">
          <cell r="A48" t="str">
            <v>South Dakota</v>
          </cell>
          <cell r="I48">
            <v>3.9499227299999995</v>
          </cell>
          <cell r="J48">
            <v>4.7793874562566199</v>
          </cell>
          <cell r="K48">
            <v>4.9173105091441158</v>
          </cell>
          <cell r="L48">
            <v>5.0439137139079513</v>
          </cell>
          <cell r="M48">
            <v>5.1740174972835069</v>
          </cell>
          <cell r="N48">
            <v>5.307718650269396</v>
          </cell>
          <cell r="O48">
            <v>5.4451166401353461</v>
          </cell>
          <cell r="P48">
            <v>2.6424452219762973E-2</v>
          </cell>
        </row>
        <row r="49">
          <cell r="A49" t="str">
            <v>% Growth</v>
          </cell>
          <cell r="J49">
            <v>0.20999517786937072</v>
          </cell>
          <cell r="K49">
            <v>2.8857893223731557E-2</v>
          </cell>
          <cell r="L49">
            <v>2.5746432837301381E-2</v>
          </cell>
          <cell r="M49">
            <v>2.579421273936755E-2</v>
          </cell>
          <cell r="N49">
            <v>2.5840877626735148E-2</v>
          </cell>
          <cell r="O49">
            <v>2.5886449323943905E-2</v>
          </cell>
        </row>
        <row r="50">
          <cell r="A50" t="str">
            <v>Wylie</v>
          </cell>
          <cell r="I50">
            <v>1.05458593</v>
          </cell>
          <cell r="J50">
            <v>1.5983455762125887</v>
          </cell>
          <cell r="K50">
            <v>1.6368715813948669</v>
          </cell>
          <cell r="L50">
            <v>1.6764628306204352</v>
          </cell>
          <cell r="M50">
            <v>1.71714877788709</v>
          </cell>
          <cell r="N50">
            <v>1.7589596915956682</v>
          </cell>
          <cell r="O50">
            <v>1.8019266770682887</v>
          </cell>
          <cell r="P50">
            <v>2.4267248918061091E-2</v>
          </cell>
        </row>
        <row r="51">
          <cell r="A51" t="str">
            <v>% Growth</v>
          </cell>
          <cell r="J51">
            <v>0.51561435701364666</v>
          </cell>
          <cell r="K51">
            <v>2.410367679908676E-2</v>
          </cell>
          <cell r="L51">
            <v>2.4187144352417977E-2</v>
          </cell>
          <cell r="M51">
            <v>2.4268922951066862E-2</v>
          </cell>
          <cell r="N51">
            <v>2.4349033844362378E-2</v>
          </cell>
          <cell r="O51">
            <v>2.442749863906335E-2</v>
          </cell>
        </row>
        <row r="52">
          <cell r="A52" t="str">
            <v xml:space="preserve">Corporate / Other </v>
          </cell>
          <cell r="I52">
            <v>1.1878893988136605</v>
          </cell>
          <cell r="J52">
            <v>1.3107573400000003</v>
          </cell>
          <cell r="K52">
            <v>1.3107573400000003</v>
          </cell>
          <cell r="L52">
            <v>1.3107573400000003</v>
          </cell>
          <cell r="M52">
            <v>1.3107573400000003</v>
          </cell>
          <cell r="N52">
            <v>1.3107573400000003</v>
          </cell>
          <cell r="O52">
            <v>1.3107573400000003</v>
          </cell>
          <cell r="P52">
            <v>0</v>
          </cell>
        </row>
        <row r="54">
          <cell r="A54" t="str">
            <v>New Business</v>
          </cell>
          <cell r="I54">
            <v>0</v>
          </cell>
          <cell r="J54">
            <v>0</v>
          </cell>
          <cell r="K54">
            <v>0</v>
          </cell>
          <cell r="L54">
            <v>10</v>
          </cell>
          <cell r="M54">
            <v>20</v>
          </cell>
          <cell r="N54">
            <v>40</v>
          </cell>
          <cell r="O54">
            <v>40</v>
          </cell>
          <cell r="P54" t="str">
            <v>NA</v>
          </cell>
        </row>
        <row r="55">
          <cell r="J55" t="str">
            <v>NA</v>
          </cell>
          <cell r="K55" t="str">
            <v>NA</v>
          </cell>
          <cell r="L55" t="str">
            <v>NA</v>
          </cell>
          <cell r="M55">
            <v>1</v>
          </cell>
          <cell r="N55">
            <v>1</v>
          </cell>
          <cell r="O55">
            <v>0</v>
          </cell>
        </row>
        <row r="57">
          <cell r="A57" t="str">
            <v>Revenue (PF, excludes CA)</v>
          </cell>
          <cell r="I57">
            <v>63.183382426688659</v>
          </cell>
          <cell r="J57">
            <v>67.951225395309137</v>
          </cell>
          <cell r="K57">
            <v>70.003190932572451</v>
          </cell>
          <cell r="L57">
            <v>82.097814824796487</v>
          </cell>
          <cell r="M57">
            <v>94.258402134650495</v>
          </cell>
          <cell r="N57">
            <v>116.48704125969395</v>
          </cell>
          <cell r="O57">
            <v>118.78588701722998</v>
          </cell>
          <cell r="P57">
            <v>0.11818460952639742</v>
          </cell>
        </row>
        <row r="58">
          <cell r="A58" t="str">
            <v>% Growth</v>
          </cell>
          <cell r="J58">
            <v>7.5460394576890133E-2</v>
          </cell>
          <cell r="K58">
            <v>3.0197623741528012E-2</v>
          </cell>
          <cell r="L58">
            <v>0.17277246552765946</v>
          </cell>
          <cell r="M58">
            <v>0.14812315450546043</v>
          </cell>
          <cell r="N58">
            <v>0.23582660666461641</v>
          </cell>
          <cell r="O58">
            <v>1.9734776784406716E-2</v>
          </cell>
        </row>
        <row r="60">
          <cell r="A60" t="str">
            <v>Waco</v>
          </cell>
          <cell r="I60">
            <v>7.3208631200000021</v>
          </cell>
          <cell r="J60">
            <v>7.8023961096975523</v>
          </cell>
          <cell r="K60">
            <v>6.038225121334813</v>
          </cell>
          <cell r="L60">
            <v>0</v>
          </cell>
          <cell r="M60">
            <v>0</v>
          </cell>
          <cell r="N60">
            <v>0</v>
          </cell>
          <cell r="O60">
            <v>0</v>
          </cell>
          <cell r="P60">
            <v>-1</v>
          </cell>
        </row>
        <row r="61">
          <cell r="A61" t="str">
            <v>% Growth</v>
          </cell>
          <cell r="J61">
            <v>6.5775439562862692E-2</v>
          </cell>
          <cell r="K61">
            <v>-0.22610630933875064</v>
          </cell>
          <cell r="L61">
            <v>-1</v>
          </cell>
          <cell r="M61" t="str">
            <v>NA</v>
          </cell>
          <cell r="N61" t="str">
            <v>NA</v>
          </cell>
          <cell r="O61" t="str">
            <v>NA</v>
          </cell>
        </row>
        <row r="62">
          <cell r="A62" t="str">
            <v>California</v>
          </cell>
          <cell r="I62">
            <v>56.092201789999997</v>
          </cell>
          <cell r="J62">
            <v>61.427868629062267</v>
          </cell>
          <cell r="K62">
            <v>62.251414161151899</v>
          </cell>
          <cell r="L62">
            <v>63.165071390097644</v>
          </cell>
          <cell r="M62">
            <v>64.092462029265988</v>
          </cell>
          <cell r="N62">
            <v>65.033792508979317</v>
          </cell>
          <cell r="O62">
            <v>65.989272362465854</v>
          </cell>
        </row>
        <row r="63">
          <cell r="A63" t="str">
            <v>% Growth</v>
          </cell>
          <cell r="J63">
            <v>9.5123148473260644E-2</v>
          </cell>
          <cell r="K63">
            <v>1.3406708558662217E-2</v>
          </cell>
          <cell r="L63">
            <v>1.4676891139862924E-2</v>
          </cell>
          <cell r="M63">
            <v>1.4682016797557651E-2</v>
          </cell>
          <cell r="N63">
            <v>1.4687070053316154E-2</v>
          </cell>
          <cell r="O63">
            <v>1.4692051879868551E-2</v>
          </cell>
        </row>
        <row r="65">
          <cell r="A65" t="str">
            <v>Revenue (Incl. CA)</v>
          </cell>
          <cell r="I65">
            <v>126.59644733668867</v>
          </cell>
          <cell r="J65">
            <v>137.18149013406895</v>
          </cell>
          <cell r="K65">
            <v>138.29283021505915</v>
          </cell>
          <cell r="L65">
            <v>145.26288621489414</v>
          </cell>
          <cell r="M65">
            <v>158.35086416391647</v>
          </cell>
          <cell r="N65">
            <v>181.52083376867327</v>
          </cell>
          <cell r="O65">
            <v>184.77515937969582</v>
          </cell>
          <cell r="P65">
            <v>6.1376857389496164E-2</v>
          </cell>
        </row>
        <row r="66">
          <cell r="A66" t="str">
            <v>% Growth</v>
          </cell>
          <cell r="J66">
            <v>8.361247902343516E-2</v>
          </cell>
          <cell r="K66">
            <v>8.1012393137300798E-3</v>
          </cell>
          <cell r="L66">
            <v>5.040070399163743E-2</v>
          </cell>
          <cell r="M66">
            <v>9.0098567432156607E-2</v>
          </cell>
          <cell r="N66">
            <v>0.14632044938367028</v>
          </cell>
          <cell r="O66">
            <v>1.792811074881806E-2</v>
          </cell>
        </row>
        <row r="69">
          <cell r="A69" t="str">
            <v>OPERATING COSTS:</v>
          </cell>
        </row>
        <row r="70">
          <cell r="A70" t="str">
            <v>Florida</v>
          </cell>
          <cell r="I70">
            <v>36.927425604740328</v>
          </cell>
          <cell r="J70">
            <v>40.348964640107724</v>
          </cell>
          <cell r="K70">
            <v>41.538445001463892</v>
          </cell>
          <cell r="L70">
            <v>42.721459759478378</v>
          </cell>
          <cell r="M70">
            <v>43.939554289313712</v>
          </cell>
          <cell r="N70">
            <v>45.193773478410499</v>
          </cell>
          <cell r="O70">
            <v>46.485193407510103</v>
          </cell>
        </row>
        <row r="71">
          <cell r="A71" t="str">
            <v>% Revenue</v>
          </cell>
          <cell r="I71">
            <v>0.79413154252208307</v>
          </cell>
          <cell r="J71">
            <v>0.82025240443728475</v>
          </cell>
          <cell r="K71">
            <v>0.81827804882989985</v>
          </cell>
          <cell r="L71">
            <v>0.81554901568496951</v>
          </cell>
          <cell r="M71">
            <v>0.81283608877826408</v>
          </cell>
          <cell r="N71">
            <v>0.81013913283946193</v>
          </cell>
          <cell r="O71">
            <v>0.80745801099280845</v>
          </cell>
        </row>
        <row r="72">
          <cell r="A72" t="str">
            <v>ETX Mgmt. Agreement</v>
          </cell>
          <cell r="I72">
            <v>-1</v>
          </cell>
          <cell r="J72">
            <v>-1.0000000000000004</v>
          </cell>
          <cell r="K72">
            <v>-1.0000000000000002</v>
          </cell>
          <cell r="L72">
            <v>-1.0000000000000002</v>
          </cell>
          <cell r="M72">
            <v>-1</v>
          </cell>
          <cell r="N72">
            <v>-1</v>
          </cell>
          <cell r="O72">
            <v>-1</v>
          </cell>
        </row>
        <row r="73">
          <cell r="A73" t="str">
            <v>% Revenue</v>
          </cell>
          <cell r="I73">
            <v>-1.381289536733503</v>
          </cell>
          <cell r="J73">
            <v>-1.3464343498888789</v>
          </cell>
          <cell r="K73">
            <v>-1.3200336763616458</v>
          </cell>
          <cell r="L73">
            <v>-1.2941506630996527</v>
          </cell>
          <cell r="M73">
            <v>-1.2687751599016199</v>
          </cell>
          <cell r="N73">
            <v>-1.2438972155898234</v>
          </cell>
          <cell r="O73">
            <v>-1.2195070741076701</v>
          </cell>
        </row>
        <row r="74">
          <cell r="A74" t="str">
            <v>Indiana</v>
          </cell>
          <cell r="I74">
            <v>8.5848805386756695</v>
          </cell>
          <cell r="J74">
            <v>9.1001298912985824</v>
          </cell>
          <cell r="K74">
            <v>9.2873734669483898</v>
          </cell>
          <cell r="L74">
            <v>9.5058262857058988</v>
          </cell>
          <cell r="M74">
            <v>9.7296720376246277</v>
          </cell>
          <cell r="N74">
            <v>9.9590445330694042</v>
          </cell>
          <cell r="O74">
            <v>10.194080910866665</v>
          </cell>
        </row>
        <row r="75">
          <cell r="A75" t="str">
            <v>% Revenue</v>
          </cell>
          <cell r="I75">
            <v>0.87900092577600897</v>
          </cell>
          <cell r="J75">
            <v>0.88101698712321952</v>
          </cell>
          <cell r="K75">
            <v>0.87472689339107423</v>
          </cell>
          <cell r="L75">
            <v>0.87127147970462893</v>
          </cell>
          <cell r="M75">
            <v>0.86785085454278188</v>
          </cell>
          <cell r="N75">
            <v>0.86446431968883142</v>
          </cell>
          <cell r="O75">
            <v>0.86111119351240617</v>
          </cell>
        </row>
        <row r="76">
          <cell r="A76" t="str">
            <v>South Dakota</v>
          </cell>
          <cell r="I76">
            <v>3.2175854374343547</v>
          </cell>
          <cell r="J76">
            <v>3.5624325608551191</v>
          </cell>
          <cell r="K76">
            <v>3.6357041087398825</v>
          </cell>
          <cell r="L76">
            <v>3.7145919859094203</v>
          </cell>
          <cell r="M76">
            <v>3.7953534163314884</v>
          </cell>
          <cell r="N76">
            <v>3.8780339223614497</v>
          </cell>
          <cell r="O76">
            <v>3.962680144039151</v>
          </cell>
        </row>
        <row r="77">
          <cell r="A77" t="str">
            <v>% Revenue</v>
          </cell>
          <cell r="I77">
            <v>0.81459452687429024</v>
          </cell>
          <cell r="J77">
            <v>0.7453742960704296</v>
          </cell>
          <cell r="K77">
            <v>0.73936842141227643</v>
          </cell>
          <cell r="L77">
            <v>0.73645034324574288</v>
          </cell>
          <cell r="M77">
            <v>0.73354089318873528</v>
          </cell>
          <cell r="N77">
            <v>0.73064044609158363</v>
          </cell>
          <cell r="O77">
            <v>0.72774935890825154</v>
          </cell>
        </row>
        <row r="78">
          <cell r="A78" t="str">
            <v>Wylie</v>
          </cell>
          <cell r="I78">
            <v>0.94406178356305614</v>
          </cell>
          <cell r="J78">
            <v>0.98431124759623312</v>
          </cell>
          <cell r="K78">
            <v>1.0222746526099358</v>
          </cell>
          <cell r="L78">
            <v>1.0461615540448053</v>
          </cell>
          <cell r="M78">
            <v>1.0706304396953377</v>
          </cell>
          <cell r="N78">
            <v>1.0956956628200045</v>
          </cell>
          <cell r="O78">
            <v>1.1213719326222296</v>
          </cell>
        </row>
        <row r="79">
          <cell r="A79" t="str">
            <v>% Revenue</v>
          </cell>
          <cell r="I79">
            <v>0.89519664230970364</v>
          </cell>
          <cell r="J79">
            <v>0.61583130847625556</v>
          </cell>
          <cell r="K79">
            <v>0.62452953807090972</v>
          </cell>
          <cell r="L79">
            <v>0.62402907773245153</v>
          </cell>
          <cell r="M79">
            <v>0.62349311456443657</v>
          </cell>
          <cell r="N79">
            <v>0.62292255362942783</v>
          </cell>
          <cell r="O79">
            <v>0.62231829235509584</v>
          </cell>
        </row>
        <row r="80">
          <cell r="A80" t="str">
            <v xml:space="preserve">Corporate / Other </v>
          </cell>
          <cell r="I80">
            <v>7.7917773769558858</v>
          </cell>
          <cell r="J80">
            <v>7.9146453181422256</v>
          </cell>
          <cell r="K80">
            <v>7.9146453181422256</v>
          </cell>
          <cell r="L80">
            <v>7.9146453181422256</v>
          </cell>
          <cell r="M80">
            <v>7.9146453181422256</v>
          </cell>
          <cell r="N80">
            <v>7.9146453181422256</v>
          </cell>
          <cell r="O80">
            <v>7.9146453181422256</v>
          </cell>
        </row>
        <row r="81">
          <cell r="A81" t="str">
            <v>New Business</v>
          </cell>
          <cell r="I81">
            <v>0</v>
          </cell>
          <cell r="J81">
            <v>0</v>
          </cell>
          <cell r="K81">
            <v>0</v>
          </cell>
          <cell r="L81">
            <v>9</v>
          </cell>
          <cell r="M81">
            <v>18</v>
          </cell>
          <cell r="N81">
            <v>36</v>
          </cell>
          <cell r="O81">
            <v>36</v>
          </cell>
        </row>
        <row r="82">
          <cell r="A82" t="str">
            <v>OpEx (PF, excludes CA)</v>
          </cell>
          <cell r="I82">
            <v>56.465730741369292</v>
          </cell>
          <cell r="J82">
            <v>60.910483657999883</v>
          </cell>
          <cell r="K82">
            <v>62.398442547904324</v>
          </cell>
          <cell r="L82">
            <v>72.902684903280743</v>
          </cell>
          <cell r="M82">
            <v>83.449855501107393</v>
          </cell>
          <cell r="N82">
            <v>103.04119291480357</v>
          </cell>
          <cell r="O82">
            <v>104.67797171318038</v>
          </cell>
        </row>
        <row r="83">
          <cell r="A83" t="str">
            <v>% Revenue</v>
          </cell>
          <cell r="J83">
            <v>7.8715937229059341E-2</v>
          </cell>
          <cell r="K83">
            <v>2.4428617218983595E-2</v>
          </cell>
          <cell r="L83">
            <v>0.16834141889538579</v>
          </cell>
          <cell r="M83">
            <v>0.14467465240573074</v>
          </cell>
          <cell r="N83">
            <v>0.23476778115495001</v>
          </cell>
          <cell r="O83">
            <v>1.5884703506199971E-2</v>
          </cell>
        </row>
        <row r="85">
          <cell r="A85" t="str">
            <v>Waco</v>
          </cell>
          <cell r="I85">
            <v>6.2073426200100448</v>
          </cell>
          <cell r="J85">
            <v>6.6445148571701216</v>
          </cell>
          <cell r="K85">
            <v>5.0883553025975035</v>
          </cell>
          <cell r="L85">
            <v>0</v>
          </cell>
          <cell r="M85">
            <v>0</v>
          </cell>
          <cell r="N85">
            <v>0</v>
          </cell>
          <cell r="O85">
            <v>0</v>
          </cell>
        </row>
        <row r="86">
          <cell r="A86" t="str">
            <v>% Revenue</v>
          </cell>
          <cell r="I86">
            <v>0.84789764789510813</v>
          </cell>
          <cell r="J86">
            <v>0.8515992733196015</v>
          </cell>
          <cell r="K86">
            <v>0.84269055895562062</v>
          </cell>
          <cell r="L86" t="str">
            <v>NA</v>
          </cell>
          <cell r="M86" t="str">
            <v>NA</v>
          </cell>
          <cell r="N86" t="str">
            <v>NA</v>
          </cell>
          <cell r="O86" t="str">
            <v>NA</v>
          </cell>
        </row>
        <row r="87">
          <cell r="A87" t="str">
            <v>California</v>
          </cell>
          <cell r="I87">
            <v>52.968294520473314</v>
          </cell>
          <cell r="J87">
            <v>56.857465617271622</v>
          </cell>
          <cell r="K87">
            <v>57.29947760999427</v>
          </cell>
          <cell r="L87">
            <v>58.079644945523562</v>
          </cell>
          <cell r="M87">
            <v>58.871200619054008</v>
          </cell>
          <cell r="N87">
            <v>59.674313695589589</v>
          </cell>
          <cell r="O87">
            <v>60.489155768167898</v>
          </cell>
        </row>
        <row r="88">
          <cell r="A88" t="str">
            <v>% Revenue</v>
          </cell>
          <cell r="I88">
            <v>0.94430763689359032</v>
          </cell>
          <cell r="J88">
            <v>0.92559723926953352</v>
          </cell>
          <cell r="K88">
            <v>0.92045262556865903</v>
          </cell>
          <cell r="L88">
            <v>0.91948989635162004</v>
          </cell>
          <cell r="M88">
            <v>0.91853548381667971</v>
          </cell>
          <cell r="N88">
            <v>0.91758932384806347</v>
          </cell>
          <cell r="O88">
            <v>0.91665135260036024</v>
          </cell>
        </row>
        <row r="90">
          <cell r="A90" t="str">
            <v>Total OpEx (Incl. CA)</v>
          </cell>
          <cell r="I90">
            <v>115.64136788185266</v>
          </cell>
          <cell r="J90">
            <v>124.41246413244161</v>
          </cell>
          <cell r="K90">
            <v>124.7862754604961</v>
          </cell>
          <cell r="L90">
            <v>130.98232984880431</v>
          </cell>
          <cell r="M90">
            <v>142.32105612016142</v>
          </cell>
          <cell r="N90">
            <v>162.71550661039316</v>
          </cell>
          <cell r="O90">
            <v>165.16712748134827</v>
          </cell>
        </row>
        <row r="91">
          <cell r="A91" t="str">
            <v>% Revenue</v>
          </cell>
          <cell r="J91">
            <v>7.584739277340713E-2</v>
          </cell>
          <cell r="K91">
            <v>3.0046131684728916E-3</v>
          </cell>
          <cell r="L91">
            <v>4.9653332190924493E-2</v>
          </cell>
          <cell r="M91">
            <v>8.6566839087727665E-2</v>
          </cell>
          <cell r="N91">
            <v>0.14329889790174644</v>
          </cell>
          <cell r="O91">
            <v>1.5066916005892939E-2</v>
          </cell>
        </row>
        <row r="94">
          <cell r="A94" t="str">
            <v>EBITDA:</v>
          </cell>
        </row>
        <row r="95">
          <cell r="A95" t="str">
            <v>Florida</v>
          </cell>
          <cell r="I95">
            <v>9.5729633452596747</v>
          </cell>
          <cell r="J95">
            <v>8.8419483298922863</v>
          </cell>
          <cell r="K95">
            <v>9.2247950253973539</v>
          </cell>
          <cell r="L95">
            <v>9.6622215862677763</v>
          </cell>
          <cell r="M95">
            <v>10.117536550928387</v>
          </cell>
          <cell r="N95">
            <v>10.591426429178886</v>
          </cell>
          <cell r="O95">
            <v>11.084603132565491</v>
          </cell>
          <cell r="P95">
            <v>4.6247504579767673E-2</v>
          </cell>
        </row>
        <row r="96">
          <cell r="A96" t="str">
            <v>% Margin</v>
          </cell>
          <cell r="I96">
            <v>0.20586845747791696</v>
          </cell>
          <cell r="J96">
            <v>0.17974759556271527</v>
          </cell>
          <cell r="K96">
            <v>0.18172195117010018</v>
          </cell>
          <cell r="L96">
            <v>0.18445098431503043</v>
          </cell>
          <cell r="M96">
            <v>0.18716391122173595</v>
          </cell>
          <cell r="N96">
            <v>0.18986086716053802</v>
          </cell>
          <cell r="O96">
            <v>0.19254198900719158</v>
          </cell>
        </row>
        <row r="97">
          <cell r="A97" t="str">
            <v>ETX Mgmt. Agreement</v>
          </cell>
          <cell r="I97">
            <v>1.7239611778750001</v>
          </cell>
          <cell r="J97">
            <v>1.7427023828399288</v>
          </cell>
          <cell r="K97">
            <v>1.7575564304967273</v>
          </cell>
          <cell r="L97">
            <v>1.7727075591066619</v>
          </cell>
          <cell r="M97">
            <v>1.788161710288795</v>
          </cell>
          <cell r="N97">
            <v>1.8039249444945709</v>
          </cell>
          <cell r="O97">
            <v>1.8200034433844623</v>
          </cell>
          <cell r="P97">
            <v>8.7180610669466141E-3</v>
          </cell>
        </row>
        <row r="98">
          <cell r="A98" t="str">
            <v>% Margin</v>
          </cell>
          <cell r="I98">
            <v>2.3812895367335027</v>
          </cell>
          <cell r="J98">
            <v>2.3464343498888787</v>
          </cell>
          <cell r="K98">
            <v>2.3200336763616458</v>
          </cell>
          <cell r="L98">
            <v>2.2941506630996527</v>
          </cell>
          <cell r="M98">
            <v>2.2687751599016202</v>
          </cell>
          <cell r="N98">
            <v>2.2438972155898234</v>
          </cell>
          <cell r="O98">
            <v>2.2195070741076703</v>
          </cell>
        </row>
        <row r="99">
          <cell r="A99" t="str">
            <v>Indiana</v>
          </cell>
          <cell r="I99">
            <v>1.1817537013243327</v>
          </cell>
          <cell r="J99">
            <v>1.2289897787014161</v>
          </cell>
          <cell r="K99">
            <v>1.3300815777271109</v>
          </cell>
          <cell r="L99">
            <v>1.4044657497093813</v>
          </cell>
          <cell r="M99">
            <v>1.4815539313243844</v>
          </cell>
          <cell r="N99">
            <v>1.5614361926755465</v>
          </cell>
          <cell r="O99">
            <v>1.6442054656996352</v>
          </cell>
          <cell r="P99">
            <v>5.9940686932544729E-2</v>
          </cell>
        </row>
        <row r="100">
          <cell r="A100" t="str">
            <v>% Margin</v>
          </cell>
          <cell r="I100">
            <v>0.12099907422399105</v>
          </cell>
          <cell r="J100">
            <v>0.11898301287678045</v>
          </cell>
          <cell r="K100">
            <v>0.12527310660892579</v>
          </cell>
          <cell r="L100">
            <v>0.12872852029537107</v>
          </cell>
          <cell r="M100">
            <v>0.13214914545721815</v>
          </cell>
          <cell r="N100">
            <v>0.13553568031116853</v>
          </cell>
          <cell r="O100">
            <v>0.13888880648759383</v>
          </cell>
        </row>
        <row r="101">
          <cell r="A101" t="str">
            <v>South Dakota</v>
          </cell>
          <cell r="I101">
            <v>0.73233729256564495</v>
          </cell>
          <cell r="J101">
            <v>1.2169548954015008</v>
          </cell>
          <cell r="K101">
            <v>1.2816064004042331</v>
          </cell>
          <cell r="L101">
            <v>1.329321727998531</v>
          </cell>
          <cell r="M101">
            <v>1.3786640809520185</v>
          </cell>
          <cell r="N101">
            <v>1.4296847279079465</v>
          </cell>
          <cell r="O101">
            <v>1.4824364960961953</v>
          </cell>
          <cell r="P101">
            <v>4.0256224808532748E-2</v>
          </cell>
        </row>
        <row r="102">
          <cell r="A102" t="str">
            <v>% Margin</v>
          </cell>
          <cell r="I102">
            <v>0.18540547312570974</v>
          </cell>
          <cell r="J102">
            <v>0.2546257039295704</v>
          </cell>
          <cell r="K102">
            <v>0.26063157858772346</v>
          </cell>
          <cell r="L102">
            <v>0.26354965675425718</v>
          </cell>
          <cell r="M102">
            <v>0.26645910681126472</v>
          </cell>
          <cell r="N102">
            <v>0.26935955390841643</v>
          </cell>
          <cell r="O102">
            <v>0.27225064109174846</v>
          </cell>
        </row>
        <row r="103">
          <cell r="A103" t="str">
            <v>Wylie</v>
          </cell>
          <cell r="I103">
            <v>0.11052414643694385</v>
          </cell>
          <cell r="J103">
            <v>0.61403432861635554</v>
          </cell>
          <cell r="K103">
            <v>0.61459692878493111</v>
          </cell>
          <cell r="L103">
            <v>0.63030127657562984</v>
          </cell>
          <cell r="M103">
            <v>0.64651833819175231</v>
          </cell>
          <cell r="N103">
            <v>0.66326402877566371</v>
          </cell>
          <cell r="O103">
            <v>0.68055474444605923</v>
          </cell>
          <cell r="P103">
            <v>2.0784537409633375E-2</v>
          </cell>
        </row>
        <row r="104">
          <cell r="A104" t="str">
            <v>% Margin</v>
          </cell>
          <cell r="I104">
            <v>0.10480335769029636</v>
          </cell>
          <cell r="J104">
            <v>0.38416869152374444</v>
          </cell>
          <cell r="K104">
            <v>0.37547046192909023</v>
          </cell>
          <cell r="L104">
            <v>0.37597092226754841</v>
          </cell>
          <cell r="M104">
            <v>0.37650688543556343</v>
          </cell>
          <cell r="N104">
            <v>0.37707744637057217</v>
          </cell>
          <cell r="O104">
            <v>0.37768170764490427</v>
          </cell>
        </row>
        <row r="105">
          <cell r="A105" t="str">
            <v xml:space="preserve">Corporate / Other </v>
          </cell>
          <cell r="I105">
            <v>-6.6038879781422253</v>
          </cell>
          <cell r="J105">
            <v>-6.6038879781422253</v>
          </cell>
          <cell r="K105">
            <v>-6.6038879781422253</v>
          </cell>
          <cell r="L105">
            <v>-6.6038879781422253</v>
          </cell>
          <cell r="M105">
            <v>-6.6038879781422253</v>
          </cell>
          <cell r="N105">
            <v>-6.6038879781422253</v>
          </cell>
          <cell r="O105">
            <v>-6.6038879781422253</v>
          </cell>
        </row>
        <row r="106">
          <cell r="A106" t="str">
            <v>Core EBITDA</v>
          </cell>
          <cell r="I106">
            <v>6.7176516853193711</v>
          </cell>
          <cell r="J106">
            <v>7.0407417373092613</v>
          </cell>
          <cell r="K106">
            <v>7.6047483846681292</v>
          </cell>
          <cell r="L106">
            <v>8.195129921515754</v>
          </cell>
          <cell r="M106">
            <v>8.8085466335431128</v>
          </cell>
          <cell r="N106">
            <v>9.4458483448903898</v>
          </cell>
          <cell r="O106">
            <v>10.107915304049616</v>
          </cell>
        </row>
        <row r="108">
          <cell r="A108" t="str">
            <v>New Business</v>
          </cell>
          <cell r="I108">
            <v>0</v>
          </cell>
          <cell r="J108">
            <v>0</v>
          </cell>
          <cell r="K108">
            <v>0</v>
          </cell>
          <cell r="L108">
            <v>1</v>
          </cell>
          <cell r="M108">
            <v>2</v>
          </cell>
          <cell r="N108">
            <v>4</v>
          </cell>
          <cell r="O108">
            <v>4</v>
          </cell>
        </row>
        <row r="109">
          <cell r="A109" t="str">
            <v>% Margin</v>
          </cell>
          <cell r="I109" t="str">
            <v>NA</v>
          </cell>
          <cell r="J109" t="str">
            <v>NA</v>
          </cell>
          <cell r="K109" t="str">
            <v>NA</v>
          </cell>
          <cell r="L109">
            <v>0.1</v>
          </cell>
          <cell r="M109">
            <v>0.1</v>
          </cell>
          <cell r="N109">
            <v>0.1</v>
          </cell>
          <cell r="O109">
            <v>0.1</v>
          </cell>
        </row>
        <row r="110">
          <cell r="A110" t="str">
            <v>Pro Forma EBITDA (PF, excludes CA)</v>
          </cell>
          <cell r="I110">
            <v>6.7176516853193711</v>
          </cell>
          <cell r="J110">
            <v>7.0407417373092613</v>
          </cell>
          <cell r="K110">
            <v>7.6047483846681292</v>
          </cell>
          <cell r="L110">
            <v>9.195129921515754</v>
          </cell>
          <cell r="M110">
            <v>10.808546633543113</v>
          </cell>
          <cell r="N110">
            <v>13.44584834489039</v>
          </cell>
          <cell r="O110">
            <v>14.107915304049616</v>
          </cell>
          <cell r="P110">
            <v>0.14912926737896304</v>
          </cell>
        </row>
        <row r="111">
          <cell r="A111" t="str">
            <v>% Margin</v>
          </cell>
          <cell r="I111">
            <v>0.10631991240915009</v>
          </cell>
          <cell r="J111">
            <v>0.10361463971178514</v>
          </cell>
          <cell r="K111">
            <v>0.10863431057011493</v>
          </cell>
          <cell r="L111">
            <v>0.11200212747609568</v>
          </cell>
          <cell r="M111">
            <v>0.11466931741642333</v>
          </cell>
          <cell r="N111">
            <v>0.11542784673287801</v>
          </cell>
          <cell r="O111">
            <v>0.11876760495969738</v>
          </cell>
        </row>
        <row r="113">
          <cell r="A113" t="str">
            <v>Waco</v>
          </cell>
          <cell r="I113">
            <v>1.1135204999899571</v>
          </cell>
          <cell r="J113">
            <v>1.1578812525274307</v>
          </cell>
          <cell r="K113">
            <v>0.94986981873730958</v>
          </cell>
          <cell r="L113">
            <v>0</v>
          </cell>
          <cell r="M113">
            <v>0</v>
          </cell>
          <cell r="N113">
            <v>0</v>
          </cell>
          <cell r="O113">
            <v>0</v>
          </cell>
          <cell r="P113">
            <v>-1</v>
          </cell>
        </row>
        <row r="114">
          <cell r="A114" t="str">
            <v>% Margin</v>
          </cell>
          <cell r="I114">
            <v>0.15210235210489179</v>
          </cell>
          <cell r="J114">
            <v>0.14840072668039847</v>
          </cell>
          <cell r="K114">
            <v>0.15730944104437944</v>
          </cell>
          <cell r="L114" t="str">
            <v>NA</v>
          </cell>
          <cell r="M114" t="str">
            <v>NA</v>
          </cell>
          <cell r="N114" t="str">
            <v>NA</v>
          </cell>
          <cell r="O114" t="str">
            <v>NA</v>
          </cell>
        </row>
        <row r="115">
          <cell r="A115" t="str">
            <v>California</v>
          </cell>
          <cell r="I115">
            <v>3.1239072695266805</v>
          </cell>
          <cell r="J115">
            <v>4.5704030117906438</v>
          </cell>
          <cell r="K115">
            <v>4.9519365511576323</v>
          </cell>
          <cell r="L115">
            <v>5.0854264445740842</v>
          </cell>
          <cell r="M115">
            <v>5.2212614102119765</v>
          </cell>
          <cell r="N115">
            <v>5.3594788133897309</v>
          </cell>
          <cell r="O115">
            <v>5.5001165942979569</v>
          </cell>
          <cell r="P115">
            <v>3.7727867896137912E-2</v>
          </cell>
        </row>
        <row r="116">
          <cell r="A116" t="str">
            <v>% Margin</v>
          </cell>
          <cell r="I116">
            <v>5.569236310640964E-2</v>
          </cell>
          <cell r="J116">
            <v>7.4402760730466408E-2</v>
          </cell>
          <cell r="K116">
            <v>7.9547374431340981E-2</v>
          </cell>
          <cell r="L116">
            <v>8.0510103648380016E-2</v>
          </cell>
          <cell r="M116">
            <v>8.1464516183320235E-2</v>
          </cell>
          <cell r="N116">
            <v>8.2410676151936535E-2</v>
          </cell>
          <cell r="O116">
            <v>8.3348647399639722E-2</v>
          </cell>
        </row>
        <row r="118">
          <cell r="A118" t="str">
            <v>Adjusted EBITDA (Incl. CA)</v>
          </cell>
          <cell r="I118">
            <v>10.955079454836008</v>
          </cell>
          <cell r="J118">
            <v>12.769026001627337</v>
          </cell>
          <cell r="K118">
            <v>13.506554754563073</v>
          </cell>
          <cell r="L118">
            <v>14.280556366089838</v>
          </cell>
          <cell r="M118">
            <v>16.029808043755089</v>
          </cell>
          <cell r="N118">
            <v>18.805327158280122</v>
          </cell>
          <cell r="O118">
            <v>19.608031898347573</v>
          </cell>
          <cell r="P118">
            <v>8.9570275292054191E-2</v>
          </cell>
        </row>
        <row r="119">
          <cell r="A119" t="str">
            <v>% Margin</v>
          </cell>
          <cell r="I119">
            <v>8.6535441438577707E-2</v>
          </cell>
          <cell r="J119">
            <v>9.3081260373743063E-2</v>
          </cell>
          <cell r="K119">
            <v>9.7666341295922804E-2</v>
          </cell>
          <cell r="L119">
            <v>9.8308361744678177E-2</v>
          </cell>
          <cell r="M119">
            <v>0.10122968465244292</v>
          </cell>
          <cell r="N119">
            <v>0.1035987262059697</v>
          </cell>
          <cell r="O119">
            <v>0.10611833302795255</v>
          </cell>
        </row>
        <row r="122">
          <cell r="A122" t="str">
            <v>DEPRECIATION &amp; AMORTIZATION:</v>
          </cell>
        </row>
        <row r="123">
          <cell r="A123" t="str">
            <v>Florida</v>
          </cell>
          <cell r="I123">
            <v>2.0609859999999998</v>
          </cell>
          <cell r="J123">
            <v>2.33013</v>
          </cell>
          <cell r="K123">
            <v>2.4046097407447693</v>
          </cell>
          <cell r="L123">
            <v>2.4813686114873397</v>
          </cell>
          <cell r="M123">
            <v>2.5606365378173082</v>
          </cell>
          <cell r="N123">
            <v>2.6424955344891874</v>
          </cell>
          <cell r="O123">
            <v>2.7270302971147791</v>
          </cell>
        </row>
        <row r="124">
          <cell r="A124" t="str">
            <v>% Revenue</v>
          </cell>
        </row>
        <row r="125">
          <cell r="A125" t="str">
            <v>ETX Mgmt. Agreement</v>
          </cell>
          <cell r="I125">
            <v>0</v>
          </cell>
          <cell r="J125">
            <v>0</v>
          </cell>
          <cell r="K125">
            <v>0</v>
          </cell>
          <cell r="L125">
            <v>0</v>
          </cell>
          <cell r="M125">
            <v>0</v>
          </cell>
          <cell r="N125">
            <v>0</v>
          </cell>
          <cell r="O125">
            <v>0</v>
          </cell>
        </row>
        <row r="126">
          <cell r="A126" t="str">
            <v>% Revenue</v>
          </cell>
        </row>
        <row r="127">
          <cell r="A127" t="str">
            <v>Indiana</v>
          </cell>
          <cell r="I127">
            <v>0.30531900000000001</v>
          </cell>
          <cell r="J127">
            <v>0.25217800000000001</v>
          </cell>
          <cell r="K127">
            <v>0.2592175000191646</v>
          </cell>
          <cell r="L127">
            <v>0.26636690374475591</v>
          </cell>
          <cell r="M127">
            <v>0.27371398848335976</v>
          </cell>
          <cell r="N127">
            <v>0.28126422011498597</v>
          </cell>
          <cell r="O127">
            <v>0.28902321565122668</v>
          </cell>
        </row>
        <row r="128">
          <cell r="A128" t="str">
            <v>% Revenue</v>
          </cell>
        </row>
        <row r="129">
          <cell r="A129" t="str">
            <v>South Dakota</v>
          </cell>
          <cell r="I129">
            <v>0.37279800000000007</v>
          </cell>
          <cell r="J129">
            <v>0.36238900000000007</v>
          </cell>
          <cell r="K129">
            <v>0.37284678306745495</v>
          </cell>
          <cell r="L129">
            <v>0.38244625772630508</v>
          </cell>
          <cell r="M129">
            <v>0.3923111578594724</v>
          </cell>
          <cell r="N129">
            <v>0.40244882248132174</v>
          </cell>
          <cell r="O129">
            <v>0.41286679352996536</v>
          </cell>
        </row>
        <row r="130">
          <cell r="A130" t="str">
            <v>% Revenue</v>
          </cell>
        </row>
        <row r="131">
          <cell r="A131" t="str">
            <v>Wylie</v>
          </cell>
          <cell r="I131">
            <v>0</v>
          </cell>
          <cell r="J131">
            <v>0</v>
          </cell>
          <cell r="K131">
            <v>0</v>
          </cell>
          <cell r="L131">
            <v>0</v>
          </cell>
          <cell r="M131">
            <v>0</v>
          </cell>
          <cell r="N131">
            <v>0</v>
          </cell>
          <cell r="O131">
            <v>0</v>
          </cell>
        </row>
        <row r="132">
          <cell r="A132" t="str">
            <v>% Revenue</v>
          </cell>
        </row>
        <row r="133">
          <cell r="A133" t="str">
            <v>Waco</v>
          </cell>
          <cell r="I133">
            <v>0.38236217</v>
          </cell>
          <cell r="J133">
            <v>0.39419273999999993</v>
          </cell>
          <cell r="K133">
            <v>0.40675103252062705</v>
          </cell>
          <cell r="L133">
            <v>0.41877225107787153</v>
          </cell>
          <cell r="M133">
            <v>0.43115651043554476</v>
          </cell>
          <cell r="N133">
            <v>0.44391477442581972</v>
          </cell>
          <cell r="O133">
            <v>0.45705833798860107</v>
          </cell>
        </row>
        <row r="134">
          <cell r="A134" t="str">
            <v>% Revenue</v>
          </cell>
        </row>
        <row r="135">
          <cell r="A135" t="str">
            <v>California</v>
          </cell>
          <cell r="I135">
            <v>3.4731300000000003</v>
          </cell>
          <cell r="J135">
            <v>1.357418</v>
          </cell>
          <cell r="K135">
            <v>1.3756165075182825</v>
          </cell>
          <cell r="L135">
            <v>1.3958062812493266</v>
          </cell>
          <cell r="M135">
            <v>1.4162995325167655</v>
          </cell>
          <cell r="N135">
            <v>1.4371008229673183</v>
          </cell>
          <cell r="O135">
            <v>1.4582147828149561</v>
          </cell>
        </row>
        <row r="136">
          <cell r="A136" t="str">
            <v>% Revenue</v>
          </cell>
        </row>
        <row r="138">
          <cell r="A138" t="str">
            <v>Amortization of Goodwill &amp; Transaction Fees</v>
          </cell>
          <cell r="K138">
            <v>1.7486843790476192</v>
          </cell>
          <cell r="L138">
            <v>1.7486843790476192</v>
          </cell>
          <cell r="M138">
            <v>1.7486843790476192</v>
          </cell>
          <cell r="N138">
            <v>1.7486843790476192</v>
          </cell>
          <cell r="O138">
            <v>1.7486843790476192</v>
          </cell>
        </row>
        <row r="139">
          <cell r="A139" t="str">
            <v>Depreciation &amp; Amortization</v>
          </cell>
          <cell r="I139">
            <v>6.5945951699999998</v>
          </cell>
          <cell r="J139">
            <v>4.69630774</v>
          </cell>
          <cell r="K139">
            <v>6.5677259429179173</v>
          </cell>
          <cell r="L139">
            <v>6.693444684333218</v>
          </cell>
          <cell r="M139">
            <v>6.8228021061600694</v>
          </cell>
          <cell r="N139">
            <v>6.9559085535262524</v>
          </cell>
          <cell r="O139">
            <v>7.0928778061471478</v>
          </cell>
        </row>
        <row r="140">
          <cell r="A140" t="str">
            <v xml:space="preserve">%  Margin </v>
          </cell>
          <cell r="I140">
            <v>0.1043723035507267</v>
          </cell>
          <cell r="J140">
            <v>6.9112921991899778E-2</v>
          </cell>
          <cell r="K140">
            <v>9.3820379548755078E-2</v>
          </cell>
          <cell r="L140">
            <v>8.1530119877338769E-2</v>
          </cell>
          <cell r="M140">
            <v>7.2384020433674715E-2</v>
          </cell>
          <cell r="N140">
            <v>5.9714011775944112E-2</v>
          </cell>
          <cell r="O140">
            <v>5.9711452128301409E-2</v>
          </cell>
        </row>
        <row r="142">
          <cell r="A142" t="str">
            <v>Monitoring Fee</v>
          </cell>
          <cell r="K142">
            <v>0.25</v>
          </cell>
          <cell r="L142">
            <v>0.25</v>
          </cell>
          <cell r="M142">
            <v>0.25</v>
          </cell>
          <cell r="N142">
            <v>0.25</v>
          </cell>
          <cell r="O142">
            <v>0.25</v>
          </cell>
        </row>
        <row r="143">
          <cell r="A143" t="str">
            <v>Transition Services Agreement</v>
          </cell>
          <cell r="K143">
            <v>1.1000000000000001</v>
          </cell>
          <cell r="L143">
            <v>0</v>
          </cell>
          <cell r="M143">
            <v>0</v>
          </cell>
          <cell r="N143">
            <v>0</v>
          </cell>
          <cell r="O143">
            <v>0</v>
          </cell>
        </row>
        <row r="144">
          <cell r="A144" t="str">
            <v>One-Time Standalone Costs</v>
          </cell>
          <cell r="K144">
            <v>1.3</v>
          </cell>
          <cell r="L144">
            <v>0</v>
          </cell>
          <cell r="M144">
            <v>0</v>
          </cell>
          <cell r="N144">
            <v>0</v>
          </cell>
          <cell r="O144">
            <v>0</v>
          </cell>
        </row>
        <row r="145">
          <cell r="A145" t="str">
            <v>Third-Party Consulting Fee</v>
          </cell>
          <cell r="K145">
            <v>3</v>
          </cell>
          <cell r="L145">
            <v>2</v>
          </cell>
          <cell r="M145">
            <v>0</v>
          </cell>
          <cell r="N145">
            <v>0</v>
          </cell>
          <cell r="O145">
            <v>0</v>
          </cell>
        </row>
        <row r="146">
          <cell r="A146" t="str">
            <v>EBIT incl. Other Expenses</v>
          </cell>
          <cell r="K146">
            <v>1.2888288116451561</v>
          </cell>
          <cell r="L146">
            <v>5.3371116817566202</v>
          </cell>
          <cell r="M146">
            <v>8.9570059375950208</v>
          </cell>
          <cell r="N146">
            <v>11.599418604753868</v>
          </cell>
          <cell r="O146">
            <v>12.265154092200426</v>
          </cell>
        </row>
        <row r="147">
          <cell r="A147" t="str">
            <v xml:space="preserve">%  Margin </v>
          </cell>
          <cell r="K147">
            <v>1.8411000905466792E-2</v>
          </cell>
          <cell r="L147">
            <v>6.5009180733329591E-2</v>
          </cell>
          <cell r="M147">
            <v>9.502607443737178E-2</v>
          </cell>
          <cell r="N147">
            <v>9.9576901252855662E-2</v>
          </cell>
          <cell r="O147">
            <v>0.10325430402705463</v>
          </cell>
        </row>
        <row r="149">
          <cell r="A149" t="str">
            <v>Interest Expense / (Income)</v>
          </cell>
          <cell r="K149">
            <v>0</v>
          </cell>
          <cell r="L149">
            <v>0</v>
          </cell>
          <cell r="M149">
            <v>0</v>
          </cell>
          <cell r="N149">
            <v>0</v>
          </cell>
          <cell r="O149">
            <v>0</v>
          </cell>
        </row>
        <row r="150">
          <cell r="A150" t="str">
            <v>EBT</v>
          </cell>
          <cell r="K150">
            <v>1.2888288116451561</v>
          </cell>
          <cell r="L150">
            <v>5.3371116817566202</v>
          </cell>
          <cell r="M150">
            <v>8.9570059375950208</v>
          </cell>
          <cell r="N150">
            <v>11.599418604753868</v>
          </cell>
          <cell r="O150">
            <v>12.265154092200426</v>
          </cell>
        </row>
        <row r="151">
          <cell r="A151" t="str">
            <v xml:space="preserve">%  Margin </v>
          </cell>
          <cell r="K151">
            <v>1.8411000905466792E-2</v>
          </cell>
          <cell r="L151">
            <v>6.5009180733329591E-2</v>
          </cell>
          <cell r="M151">
            <v>9.502607443737178E-2</v>
          </cell>
          <cell r="N151">
            <v>9.9576901252855662E-2</v>
          </cell>
          <cell r="O151">
            <v>0.10325430402705463</v>
          </cell>
        </row>
        <row r="153">
          <cell r="A153" t="str">
            <v>Taxes</v>
          </cell>
          <cell r="K153">
            <v>0</v>
          </cell>
          <cell r="L153">
            <v>0</v>
          </cell>
          <cell r="M153">
            <v>0</v>
          </cell>
          <cell r="N153">
            <v>2.9608842385751015</v>
          </cell>
          <cell r="O153">
            <v>2.8678903550179875</v>
          </cell>
        </row>
        <row r="154">
          <cell r="A154" t="str">
            <v>Net Income</v>
          </cell>
          <cell r="K154">
            <v>1.2888288116451561</v>
          </cell>
          <cell r="L154">
            <v>5.3371116817566202</v>
          </cell>
          <cell r="M154">
            <v>8.9570059375950208</v>
          </cell>
          <cell r="N154">
            <v>8.6385343661787672</v>
          </cell>
          <cell r="O154">
            <v>9.3972637371824383</v>
          </cell>
        </row>
        <row r="155">
          <cell r="A155" t="str">
            <v xml:space="preserve">%  Margin </v>
          </cell>
          <cell r="K155">
            <v>1.8411000905466792E-2</v>
          </cell>
          <cell r="L155">
            <v>6.5009180733329591E-2</v>
          </cell>
          <cell r="M155">
            <v>9.502607443737178E-2</v>
          </cell>
          <cell r="N155">
            <v>7.4158758543108549E-2</v>
          </cell>
          <cell r="O155">
            <v>7.9110944685031132E-2</v>
          </cell>
        </row>
        <row r="157">
          <cell r="A157" t="str">
            <v>TAX SCHEDULE</v>
          </cell>
        </row>
        <row r="158">
          <cell r="K158">
            <v>1</v>
          </cell>
          <cell r="L158">
            <v>2</v>
          </cell>
          <cell r="M158">
            <v>3</v>
          </cell>
          <cell r="N158">
            <v>4</v>
          </cell>
          <cell r="O158">
            <v>5</v>
          </cell>
        </row>
        <row r="159">
          <cell r="K159">
            <v>43465</v>
          </cell>
          <cell r="L159">
            <v>43830</v>
          </cell>
          <cell r="M159">
            <v>44196</v>
          </cell>
          <cell r="N159">
            <v>44561</v>
          </cell>
          <cell r="O159">
            <v>44926</v>
          </cell>
        </row>
        <row r="160">
          <cell r="A160" t="str">
            <v>Interest Deductibility:</v>
          </cell>
        </row>
        <row r="161">
          <cell r="A161" t="str">
            <v xml:space="preserve">EBITDA </v>
          </cell>
          <cell r="K161">
            <v>13.506554754563073</v>
          </cell>
          <cell r="L161">
            <v>14.280556366089838</v>
          </cell>
          <cell r="M161">
            <v>16.029808043755089</v>
          </cell>
          <cell r="N161">
            <v>18.805327158280122</v>
          </cell>
          <cell r="O161">
            <v>19.608031898347573</v>
          </cell>
        </row>
        <row r="162">
          <cell r="A162" t="str">
            <v>Monitoring Fee</v>
          </cell>
          <cell r="K162">
            <v>0.25</v>
          </cell>
          <cell r="L162">
            <v>0.25</v>
          </cell>
          <cell r="M162">
            <v>0.25</v>
          </cell>
          <cell r="N162">
            <v>0.25</v>
          </cell>
          <cell r="O162">
            <v>0.25</v>
          </cell>
        </row>
        <row r="163">
          <cell r="A163" t="str">
            <v>Transition Services Agreement</v>
          </cell>
          <cell r="K163">
            <v>1.1000000000000001</v>
          </cell>
          <cell r="L163">
            <v>0</v>
          </cell>
          <cell r="M163">
            <v>0</v>
          </cell>
          <cell r="N163">
            <v>0</v>
          </cell>
          <cell r="O163">
            <v>0</v>
          </cell>
        </row>
        <row r="164">
          <cell r="A164" t="str">
            <v>One-Time Standalone Costs</v>
          </cell>
          <cell r="K164">
            <v>1.3</v>
          </cell>
          <cell r="L164">
            <v>0</v>
          </cell>
          <cell r="M164">
            <v>0</v>
          </cell>
          <cell r="N164">
            <v>0</v>
          </cell>
          <cell r="O164">
            <v>0</v>
          </cell>
        </row>
        <row r="165">
          <cell r="A165" t="str">
            <v>Third-Party Consulting Fee</v>
          </cell>
          <cell r="K165">
            <v>3</v>
          </cell>
          <cell r="L165">
            <v>2</v>
          </cell>
          <cell r="M165">
            <v>0</v>
          </cell>
          <cell r="N165">
            <v>0</v>
          </cell>
          <cell r="O165">
            <v>0</v>
          </cell>
        </row>
        <row r="166">
          <cell r="A166" t="str">
            <v xml:space="preserve">Total Depreciation &amp; Amortization </v>
          </cell>
          <cell r="O166">
            <v>12.265154092200426</v>
          </cell>
        </row>
        <row r="167">
          <cell r="A167" t="str">
            <v>EBITDA / EBIT (2022)</v>
          </cell>
          <cell r="K167">
            <v>7.8565547545630725</v>
          </cell>
          <cell r="L167">
            <v>12.030556366089838</v>
          </cell>
          <cell r="M167">
            <v>15.779808043755089</v>
          </cell>
          <cell r="N167">
            <v>18.555327158280122</v>
          </cell>
          <cell r="O167">
            <v>7.0928778061471469</v>
          </cell>
        </row>
        <row r="169">
          <cell r="A169" t="str">
            <v>Interest from Debt Schedule</v>
          </cell>
          <cell r="K169">
            <v>0</v>
          </cell>
          <cell r="L169">
            <v>0</v>
          </cell>
          <cell r="M169">
            <v>0</v>
          </cell>
          <cell r="N169">
            <v>0</v>
          </cell>
          <cell r="O169">
            <v>0</v>
          </cell>
        </row>
        <row r="170">
          <cell r="A170" t="str">
            <v>Deferred Financing Fees</v>
          </cell>
          <cell r="K170">
            <v>0.92584628571428573</v>
          </cell>
          <cell r="L170">
            <v>0.92584628571428573</v>
          </cell>
          <cell r="M170">
            <v>0.92584628571428573</v>
          </cell>
          <cell r="N170">
            <v>0.92584628571428573</v>
          </cell>
          <cell r="O170">
            <v>0.92584628571428573</v>
          </cell>
        </row>
        <row r="171">
          <cell r="A171" t="str">
            <v>Total Interest</v>
          </cell>
          <cell r="K171">
            <v>5</v>
          </cell>
          <cell r="L171">
            <v>0.92584628571428573</v>
          </cell>
          <cell r="M171">
            <v>0.92584628571428573</v>
          </cell>
          <cell r="N171">
            <v>0.92584628571428573</v>
          </cell>
          <cell r="O171">
            <v>0.92584628571428573</v>
          </cell>
        </row>
        <row r="173">
          <cell r="A173" t="str">
            <v>Max Interest Deductibility</v>
          </cell>
          <cell r="G173">
            <v>0.3</v>
          </cell>
          <cell r="K173">
            <v>2.3569664263689218</v>
          </cell>
          <cell r="L173">
            <v>3.6091669098269512</v>
          </cell>
          <cell r="M173">
            <v>4.7339424131265266</v>
          </cell>
          <cell r="N173">
            <v>5.5665981474840365</v>
          </cell>
          <cell r="O173">
            <v>2.1278633418441442</v>
          </cell>
        </row>
        <row r="175">
          <cell r="A175" t="str">
            <v>Applicable Interest Deduction</v>
          </cell>
          <cell r="K175">
            <v>2.3569664263689218</v>
          </cell>
          <cell r="L175">
            <v>3.5688798593453637</v>
          </cell>
          <cell r="M175">
            <v>0.92584628571428573</v>
          </cell>
          <cell r="N175">
            <v>0.92584628571428573</v>
          </cell>
          <cell r="O175">
            <v>0.92584628571428573</v>
          </cell>
        </row>
        <row r="176">
          <cell r="A176" t="str">
            <v>Cumulative Excess Interest</v>
          </cell>
          <cell r="K176">
            <v>2.6430335736310782</v>
          </cell>
          <cell r="L176">
            <v>0</v>
          </cell>
          <cell r="M176">
            <v>0</v>
          </cell>
          <cell r="N176">
            <v>0</v>
          </cell>
          <cell r="O176">
            <v>0</v>
          </cell>
        </row>
        <row r="178">
          <cell r="A178" t="str">
            <v>Taxable Income:</v>
          </cell>
        </row>
        <row r="179">
          <cell r="A179" t="str">
            <v xml:space="preserve">EBITDA </v>
          </cell>
          <cell r="K179">
            <v>13.506554754563073</v>
          </cell>
          <cell r="L179">
            <v>14.280556366089838</v>
          </cell>
          <cell r="M179">
            <v>16.029808043755089</v>
          </cell>
          <cell r="N179">
            <v>18.805327158280122</v>
          </cell>
          <cell r="O179">
            <v>19.608031898347573</v>
          </cell>
        </row>
        <row r="180">
          <cell r="A180" t="str">
            <v>Monitoring Fee</v>
          </cell>
          <cell r="K180">
            <v>0.25</v>
          </cell>
          <cell r="L180">
            <v>0.25</v>
          </cell>
          <cell r="M180">
            <v>0.25</v>
          </cell>
          <cell r="N180">
            <v>0.25</v>
          </cell>
          <cell r="O180">
            <v>0.25</v>
          </cell>
        </row>
        <row r="181">
          <cell r="A181" t="str">
            <v>Transition Services Agreement</v>
          </cell>
          <cell r="K181">
            <v>1.1000000000000001</v>
          </cell>
          <cell r="L181">
            <v>0</v>
          </cell>
          <cell r="M181">
            <v>0</v>
          </cell>
          <cell r="N181">
            <v>0</v>
          </cell>
          <cell r="O181">
            <v>0</v>
          </cell>
        </row>
        <row r="182">
          <cell r="A182" t="str">
            <v>One-Time Standalone Costs</v>
          </cell>
          <cell r="K182">
            <v>1.3</v>
          </cell>
          <cell r="L182">
            <v>0</v>
          </cell>
          <cell r="M182">
            <v>0</v>
          </cell>
          <cell r="N182">
            <v>0</v>
          </cell>
          <cell r="O182">
            <v>0</v>
          </cell>
        </row>
        <row r="183">
          <cell r="A183" t="str">
            <v>Third-Party Consulting Fee</v>
          </cell>
          <cell r="K183">
            <v>3</v>
          </cell>
          <cell r="L183">
            <v>2</v>
          </cell>
          <cell r="M183">
            <v>0</v>
          </cell>
          <cell r="N183">
            <v>0</v>
          </cell>
          <cell r="O183">
            <v>0</v>
          </cell>
        </row>
        <row r="184">
          <cell r="A184" t="str">
            <v>Amortization of Goodwill</v>
          </cell>
          <cell r="K184">
            <v>0.82283809333333346</v>
          </cell>
          <cell r="L184">
            <v>0.82283809333333346</v>
          </cell>
          <cell r="M184">
            <v>0.82283809333333346</v>
          </cell>
          <cell r="N184">
            <v>0.82283809333333346</v>
          </cell>
          <cell r="O184">
            <v>0.82283809333333346</v>
          </cell>
        </row>
        <row r="185">
          <cell r="A185" t="str">
            <v xml:space="preserve">Capital Expenditures </v>
          </cell>
          <cell r="K185">
            <v>3.9350000000000001</v>
          </cell>
          <cell r="L185">
            <v>10.924999999999999</v>
          </cell>
          <cell r="M185">
            <v>2.7060000000000004</v>
          </cell>
          <cell r="N185">
            <v>4.25</v>
          </cell>
          <cell r="O185">
            <v>6.5790000000000006</v>
          </cell>
        </row>
        <row r="186">
          <cell r="A186" t="str">
            <v xml:space="preserve">Applicable Interest </v>
          </cell>
          <cell r="K186">
            <v>2.3569664263689218</v>
          </cell>
          <cell r="L186">
            <v>3.5688798593453637</v>
          </cell>
          <cell r="M186">
            <v>0.92584628571428573</v>
          </cell>
          <cell r="N186">
            <v>0.92584628571428573</v>
          </cell>
          <cell r="O186">
            <v>0.92584628571428573</v>
          </cell>
        </row>
        <row r="187">
          <cell r="A187" t="str">
            <v xml:space="preserve">CapEx at Close (New Tax Laws Allow Asset Purchase as Deduct) </v>
          </cell>
          <cell r="G187">
            <v>9.9493387900000005</v>
          </cell>
          <cell r="K187">
            <v>0.74175023486081759</v>
          </cell>
          <cell r="L187">
            <v>-3.2861615865888574</v>
          </cell>
          <cell r="M187">
            <v>11.325123664707469</v>
          </cell>
          <cell r="N187">
            <v>1.1686264770205721</v>
          </cell>
          <cell r="O187">
            <v>0</v>
          </cell>
        </row>
        <row r="188">
          <cell r="A188" t="str">
            <v>Taxable Income</v>
          </cell>
          <cell r="K188">
            <v>0</v>
          </cell>
          <cell r="L188">
            <v>0</v>
          </cell>
          <cell r="M188">
            <v>0</v>
          </cell>
          <cell r="N188">
            <v>11.388016302211929</v>
          </cell>
          <cell r="O188">
            <v>11.030347519299951</v>
          </cell>
        </row>
        <row r="189">
          <cell r="A189" t="str">
            <v>Income Tax Expense</v>
          </cell>
          <cell r="G189">
            <v>0.26</v>
          </cell>
          <cell r="K189">
            <v>0</v>
          </cell>
          <cell r="L189">
            <v>0</v>
          </cell>
          <cell r="M189">
            <v>0</v>
          </cell>
          <cell r="N189">
            <v>2.9608842385751015</v>
          </cell>
          <cell r="O189">
            <v>2.8678903550179875</v>
          </cell>
        </row>
        <row r="193">
          <cell r="A193" t="str">
            <v>Memo: Capital Expenditures</v>
          </cell>
        </row>
        <row r="194">
          <cell r="A194" t="str">
            <v>Florida</v>
          </cell>
          <cell r="I194">
            <v>0.21649153000000002</v>
          </cell>
          <cell r="J194">
            <v>1.455287</v>
          </cell>
          <cell r="K194">
            <v>1.548</v>
          </cell>
          <cell r="L194">
            <v>1.272</v>
          </cell>
          <cell r="M194">
            <v>1.423</v>
          </cell>
          <cell r="N194">
            <v>1.5740000000000001</v>
          </cell>
          <cell r="O194">
            <v>1.45425</v>
          </cell>
        </row>
        <row r="195">
          <cell r="A195" t="str">
            <v>% Revenue</v>
          </cell>
          <cell r="I195">
            <v>4.6556928853387584E-3</v>
          </cell>
          <cell r="J195">
            <v>2.9584468190040177E-2</v>
          </cell>
          <cell r="K195">
            <v>3.0494507426651246E-2</v>
          </cell>
          <cell r="L195">
            <v>2.4282371290487652E-2</v>
          </cell>
          <cell r="M195">
            <v>2.6324021102161609E-2</v>
          </cell>
          <cell r="N195">
            <v>2.8215368997644531E-2</v>
          </cell>
          <cell r="O195">
            <v>2.5260641645444497E-2</v>
          </cell>
        </row>
        <row r="196">
          <cell r="A196" t="str">
            <v>ETX Mgmt. Agreement</v>
          </cell>
          <cell r="I196">
            <v>0</v>
          </cell>
          <cell r="J196">
            <v>0</v>
          </cell>
          <cell r="K196">
            <v>0</v>
          </cell>
          <cell r="L196">
            <v>0</v>
          </cell>
          <cell r="M196">
            <v>0</v>
          </cell>
          <cell r="N196">
            <v>0</v>
          </cell>
          <cell r="O196">
            <v>0</v>
          </cell>
        </row>
        <row r="197">
          <cell r="A197" t="str">
            <v>% Revenue</v>
          </cell>
          <cell r="I197">
            <v>0</v>
          </cell>
          <cell r="J197">
            <v>0</v>
          </cell>
          <cell r="K197">
            <v>0</v>
          </cell>
          <cell r="L197">
            <v>0</v>
          </cell>
          <cell r="M197">
            <v>0</v>
          </cell>
          <cell r="N197">
            <v>0</v>
          </cell>
          <cell r="O197">
            <v>0</v>
          </cell>
        </row>
        <row r="198">
          <cell r="A198" t="str">
            <v>Indiana</v>
          </cell>
          <cell r="I198">
            <v>0.32256246000000005</v>
          </cell>
          <cell r="J198">
            <v>0.44829000000000002</v>
          </cell>
          <cell r="K198">
            <v>0.441</v>
          </cell>
          <cell r="L198">
            <v>0.25700000000000001</v>
          </cell>
          <cell r="M198">
            <v>0</v>
          </cell>
          <cell r="N198">
            <v>0</v>
          </cell>
          <cell r="O198">
            <v>0.17449999999999999</v>
          </cell>
        </row>
        <row r="199">
          <cell r="A199" t="str">
            <v>% Revenue</v>
          </cell>
          <cell r="I199">
            <v>3.3026982691634003E-2</v>
          </cell>
          <cell r="J199">
            <v>4.3400600856820168E-2</v>
          </cell>
          <cell r="K199">
            <v>4.1535377182609794E-2</v>
          </cell>
          <cell r="L199">
            <v>2.3555739769913299E-2</v>
          </cell>
          <cell r="M199">
            <v>0</v>
          </cell>
          <cell r="N199">
            <v>0</v>
          </cell>
          <cell r="O199">
            <v>1.4740309065796885E-2</v>
          </cell>
        </row>
        <row r="200">
          <cell r="A200" t="str">
            <v>South Dakota</v>
          </cell>
          <cell r="I200">
            <v>0</v>
          </cell>
          <cell r="J200">
            <v>0</v>
          </cell>
          <cell r="K200">
            <v>0</v>
          </cell>
          <cell r="L200">
            <v>0.26</v>
          </cell>
          <cell r="M200">
            <v>0.183</v>
          </cell>
          <cell r="N200">
            <v>0.57599999999999996</v>
          </cell>
          <cell r="O200">
            <v>0.25474999999999998</v>
          </cell>
        </row>
        <row r="201">
          <cell r="A201" t="str">
            <v>% Revenue</v>
          </cell>
          <cell r="I201">
            <v>0</v>
          </cell>
          <cell r="J201">
            <v>0</v>
          </cell>
          <cell r="K201">
            <v>0</v>
          </cell>
          <cell r="L201">
            <v>5.1547273555271778E-2</v>
          </cell>
          <cell r="M201">
            <v>3.5369033849630339E-2</v>
          </cell>
          <cell r="N201">
            <v>0.10852120052949016</v>
          </cell>
          <cell r="O201">
            <v>4.6785040034269643E-2</v>
          </cell>
        </row>
        <row r="202">
          <cell r="A202" t="str">
            <v>Wylie</v>
          </cell>
          <cell r="I202">
            <v>0.1</v>
          </cell>
          <cell r="J202">
            <v>0.1</v>
          </cell>
          <cell r="K202">
            <v>0.1</v>
          </cell>
          <cell r="L202">
            <v>0.1</v>
          </cell>
          <cell r="M202">
            <v>0.1</v>
          </cell>
          <cell r="N202">
            <v>0.1</v>
          </cell>
          <cell r="O202">
            <v>0.1</v>
          </cell>
        </row>
        <row r="203">
          <cell r="A203" t="str">
            <v>% Revenue</v>
          </cell>
          <cell r="I203">
            <v>9.4823946683984306E-2</v>
          </cell>
          <cell r="J203">
            <v>6.2564692822536058E-2</v>
          </cell>
          <cell r="K203">
            <v>6.1092147445546453E-2</v>
          </cell>
          <cell r="L203">
            <v>5.9649398825616325E-2</v>
          </cell>
          <cell r="M203">
            <v>5.8236072079349811E-2</v>
          </cell>
          <cell r="N203">
            <v>5.6851786017497317E-2</v>
          </cell>
          <cell r="O203">
            <v>5.5496153796168173E-2</v>
          </cell>
        </row>
        <row r="204">
          <cell r="A204" t="str">
            <v>Waco</v>
          </cell>
          <cell r="I204">
            <v>0.4</v>
          </cell>
          <cell r="J204">
            <v>0.4</v>
          </cell>
          <cell r="K204">
            <v>0</v>
          </cell>
          <cell r="L204">
            <v>0</v>
          </cell>
          <cell r="M204">
            <v>0</v>
          </cell>
          <cell r="N204">
            <v>0</v>
          </cell>
          <cell r="O204">
            <v>0</v>
          </cell>
        </row>
        <row r="205">
          <cell r="A205" t="str">
            <v>% Revenue</v>
          </cell>
          <cell r="I205">
            <v>5.4638366193083515E-2</v>
          </cell>
          <cell r="J205">
            <v>5.1266302604509192E-2</v>
          </cell>
          <cell r="K205">
            <v>0</v>
          </cell>
          <cell r="L205" t="str">
            <v>NA</v>
          </cell>
          <cell r="M205" t="str">
            <v>NA</v>
          </cell>
          <cell r="N205" t="str">
            <v>NA</v>
          </cell>
          <cell r="O205" t="str">
            <v>NA</v>
          </cell>
        </row>
        <row r="206">
          <cell r="A206" t="str">
            <v>California</v>
          </cell>
          <cell r="I206">
            <v>1.2097799999999999E-2</v>
          </cell>
          <cell r="J206">
            <v>1.8464694639999999</v>
          </cell>
          <cell r="K206">
            <v>1.8460000000000001</v>
          </cell>
          <cell r="L206">
            <v>8.5359999999999996</v>
          </cell>
          <cell r="M206">
            <v>0</v>
          </cell>
          <cell r="N206">
            <v>0</v>
          </cell>
          <cell r="O206">
            <v>2.5954999999999999</v>
          </cell>
        </row>
        <row r="207">
          <cell r="A207" t="str">
            <v>% Revenue</v>
          </cell>
          <cell r="I207">
            <v>2.1567703912376586E-4</v>
          </cell>
          <cell r="J207">
            <v>3.0059149132294863E-2</v>
          </cell>
          <cell r="K207">
            <v>2.9653944811939701E-2</v>
          </cell>
          <cell r="L207">
            <v>0.13513797755856227</v>
          </cell>
          <cell r="M207">
            <v>0</v>
          </cell>
          <cell r="N207">
            <v>0</v>
          </cell>
          <cell r="O207">
            <v>3.9332150622050178E-2</v>
          </cell>
        </row>
        <row r="208">
          <cell r="A208" t="str">
            <v>RFPs</v>
          </cell>
          <cell r="I208">
            <v>0</v>
          </cell>
          <cell r="J208">
            <v>0</v>
          </cell>
          <cell r="K208">
            <v>0</v>
          </cell>
          <cell r="L208">
            <v>0.5</v>
          </cell>
          <cell r="M208">
            <v>1</v>
          </cell>
          <cell r="N208">
            <v>2</v>
          </cell>
          <cell r="O208">
            <v>2</v>
          </cell>
        </row>
        <row r="209">
          <cell r="I209" t="str">
            <v>NA</v>
          </cell>
          <cell r="J209" t="str">
            <v>NA</v>
          </cell>
          <cell r="K209" t="str">
            <v>NA</v>
          </cell>
          <cell r="L209">
            <v>0.05</v>
          </cell>
          <cell r="M209">
            <v>0.05</v>
          </cell>
          <cell r="N209">
            <v>0.05</v>
          </cell>
          <cell r="O209">
            <v>0.05</v>
          </cell>
        </row>
        <row r="211">
          <cell r="A211" t="str">
            <v>Total Capital Expenditures</v>
          </cell>
          <cell r="I211">
            <v>1.0511517900000003</v>
          </cell>
          <cell r="J211">
            <v>4.2500464640000004</v>
          </cell>
          <cell r="K211">
            <v>3.9350000000000001</v>
          </cell>
          <cell r="L211">
            <v>10.924999999999999</v>
          </cell>
          <cell r="M211">
            <v>2.7060000000000004</v>
          </cell>
          <cell r="N211">
            <v>4.25</v>
          </cell>
          <cell r="O211">
            <v>6.5790000000000006</v>
          </cell>
        </row>
        <row r="212">
          <cell r="A212" t="str">
            <v>% Net Sales</v>
          </cell>
          <cell r="I212">
            <v>1.6636522921507819E-2</v>
          </cell>
          <cell r="J212">
            <v>6.2545545562646951E-2</v>
          </cell>
          <cell r="K212">
            <v>5.6211723316873068E-2</v>
          </cell>
          <cell r="L212">
            <v>0.13307296940015823</v>
          </cell>
          <cell r="M212">
            <v>2.8708316062205377E-2</v>
          </cell>
          <cell r="N212">
            <v>3.648474503292716E-2</v>
          </cell>
          <cell r="O212">
            <v>5.5385367447276894E-2</v>
          </cell>
        </row>
        <row r="214">
          <cell r="A214" t="str">
            <v>Memo: Depreciation &amp; Amortization</v>
          </cell>
        </row>
        <row r="215">
          <cell r="A215" t="str">
            <v>Existing Depreciation</v>
          </cell>
          <cell r="I215">
            <v>6.5945951699999998</v>
          </cell>
          <cell r="J215">
            <v>4.69630774</v>
          </cell>
          <cell r="K215">
            <v>4.8190415638702984</v>
          </cell>
          <cell r="L215">
            <v>4.9447603052855991</v>
          </cell>
          <cell r="M215">
            <v>5.0741177271124505</v>
          </cell>
          <cell r="N215">
            <v>5.2072241744786334</v>
          </cell>
          <cell r="O215">
            <v>5.3441934270995288</v>
          </cell>
        </row>
        <row r="216">
          <cell r="A216" t="str">
            <v>Amortization of Goodwill &amp; Transaction Fees</v>
          </cell>
          <cell r="K216">
            <v>1.7486843790476192</v>
          </cell>
          <cell r="L216">
            <v>1.7486843790476192</v>
          </cell>
          <cell r="M216">
            <v>1.7486843790476192</v>
          </cell>
          <cell r="N216">
            <v>1.7486843790476192</v>
          </cell>
          <cell r="O216">
            <v>1.7486843790476192</v>
          </cell>
        </row>
        <row r="217">
          <cell r="A217" t="str">
            <v>Total Depreciation &amp; Amortization</v>
          </cell>
          <cell r="I217">
            <v>6.5945951699999998</v>
          </cell>
          <cell r="J217">
            <v>4.69630774</v>
          </cell>
          <cell r="K217">
            <v>6.5677259429179173</v>
          </cell>
          <cell r="L217">
            <v>6.693444684333218</v>
          </cell>
          <cell r="M217">
            <v>6.8228021061600694</v>
          </cell>
          <cell r="N217">
            <v>6.9559085535262524</v>
          </cell>
          <cell r="O217">
            <v>7.0928778061471478</v>
          </cell>
        </row>
        <row r="220">
          <cell r="A220" t="str">
            <v>CASH FLOW STATEMENT</v>
          </cell>
        </row>
        <row r="222">
          <cell r="A222" t="str">
            <v>Cash Flow</v>
          </cell>
          <cell r="K222">
            <v>43465</v>
          </cell>
          <cell r="L222">
            <v>43830</v>
          </cell>
          <cell r="M222">
            <v>44196</v>
          </cell>
          <cell r="N222">
            <v>44561</v>
          </cell>
          <cell r="O222">
            <v>44926</v>
          </cell>
        </row>
        <row r="223">
          <cell r="A223" t="str">
            <v>Net Income</v>
          </cell>
          <cell r="K223">
            <v>1.2888288116451561</v>
          </cell>
          <cell r="L223">
            <v>5.3371116817566202</v>
          </cell>
          <cell r="M223">
            <v>8.9570059375950208</v>
          </cell>
          <cell r="N223">
            <v>8.6385343661787672</v>
          </cell>
          <cell r="O223">
            <v>9.3972637371824383</v>
          </cell>
        </row>
        <row r="224">
          <cell r="A224" t="str">
            <v>Depreciation &amp; Amortization</v>
          </cell>
          <cell r="K224">
            <v>6.5677259429179173</v>
          </cell>
          <cell r="L224">
            <v>6.693444684333218</v>
          </cell>
          <cell r="M224">
            <v>6.8228021061600694</v>
          </cell>
          <cell r="N224">
            <v>6.9559085535262524</v>
          </cell>
          <cell r="O224">
            <v>7.0928778061471478</v>
          </cell>
        </row>
        <row r="225">
          <cell r="A225" t="str">
            <v>Change in WC</v>
          </cell>
          <cell r="K225">
            <v>-3.4087182325251284</v>
          </cell>
          <cell r="L225">
            <v>-0.94989693444195922</v>
          </cell>
          <cell r="M225">
            <v>-1.7836628761827029</v>
          </cell>
          <cell r="N225">
            <v>-3.1576623056102804</v>
          </cell>
          <cell r="O225">
            <v>-0.44350775971662415</v>
          </cell>
        </row>
        <row r="226">
          <cell r="A226" t="str">
            <v>Cash Flow from Operations</v>
          </cell>
          <cell r="K226">
            <v>4.447836522037945</v>
          </cell>
          <cell r="L226">
            <v>11.080659431647879</v>
          </cell>
          <cell r="M226">
            <v>13.996145167572386</v>
          </cell>
          <cell r="N226">
            <v>12.43678061409474</v>
          </cell>
          <cell r="O226">
            <v>16.046633783612961</v>
          </cell>
        </row>
        <row r="227">
          <cell r="K227"/>
        </row>
        <row r="228">
          <cell r="A228" t="str">
            <v>Capital Expenditures</v>
          </cell>
          <cell r="K228">
            <v>-3.9350000000000001</v>
          </cell>
          <cell r="L228">
            <v>-10.924999999999999</v>
          </cell>
          <cell r="M228">
            <v>-2.7060000000000004</v>
          </cell>
          <cell r="N228">
            <v>-4.25</v>
          </cell>
          <cell r="O228">
            <v>-6.5790000000000006</v>
          </cell>
        </row>
        <row r="229">
          <cell r="A229" t="str">
            <v>Cash Flow after Investments</v>
          </cell>
          <cell r="K229">
            <v>-3.9350000000000001</v>
          </cell>
          <cell r="L229">
            <v>-10.924999999999999</v>
          </cell>
          <cell r="M229">
            <v>-2.7060000000000004</v>
          </cell>
          <cell r="N229">
            <v>-4.25</v>
          </cell>
          <cell r="O229">
            <v>-6.5790000000000006</v>
          </cell>
        </row>
        <row r="231">
          <cell r="A231" t="str">
            <v>Cash Flows Available for Debt Service</v>
          </cell>
          <cell r="K231">
            <v>0.51283652203794494</v>
          </cell>
          <cell r="L231">
            <v>0.1556594316478801</v>
          </cell>
          <cell r="M231">
            <v>11.290145167572387</v>
          </cell>
          <cell r="N231">
            <v>8.1867806140947401</v>
          </cell>
          <cell r="O231">
            <v>9.4676337836129605</v>
          </cell>
        </row>
        <row r="233">
          <cell r="A233" t="str">
            <v>Optional Repayment</v>
          </cell>
        </row>
        <row r="234">
          <cell r="A234" t="str">
            <v>Revolver</v>
          </cell>
          <cell r="K234">
            <v>0</v>
          </cell>
          <cell r="L234">
            <v>0</v>
          </cell>
          <cell r="M234">
            <v>0</v>
          </cell>
          <cell r="N234">
            <v>0</v>
          </cell>
          <cell r="O234">
            <v>0</v>
          </cell>
        </row>
        <row r="235">
          <cell r="A235" t="str">
            <v>Total Optional Repayment</v>
          </cell>
          <cell r="K235">
            <v>0</v>
          </cell>
          <cell r="L235">
            <v>0</v>
          </cell>
          <cell r="M235">
            <v>0</v>
          </cell>
          <cell r="N235">
            <v>0</v>
          </cell>
          <cell r="O235">
            <v>0</v>
          </cell>
        </row>
        <row r="236">
          <cell r="A236" t="str">
            <v>Cash Flow after Financing</v>
          </cell>
          <cell r="K236">
            <v>0.51283652203794494</v>
          </cell>
          <cell r="L236">
            <v>0.1556594316478801</v>
          </cell>
          <cell r="M236">
            <v>11.290145167572387</v>
          </cell>
          <cell r="N236">
            <v>8.1867806140947401</v>
          </cell>
          <cell r="O236">
            <v>9.4676337836129605</v>
          </cell>
        </row>
        <row r="239">
          <cell r="A239" t="str">
            <v>Balance Sheet</v>
          </cell>
        </row>
        <row r="241">
          <cell r="E241" t="str">
            <v>FY</v>
          </cell>
          <cell r="G241" t="str">
            <v>FY</v>
          </cell>
          <cell r="I241" t="str">
            <v>Trans.</v>
          </cell>
          <cell r="J241" t="str">
            <v>Post-Trans.</v>
          </cell>
        </row>
        <row r="242">
          <cell r="E242">
            <v>42674</v>
          </cell>
          <cell r="G242">
            <v>43039</v>
          </cell>
          <cell r="I242" t="str">
            <v>Adj.</v>
          </cell>
          <cell r="J242">
            <v>43100</v>
          </cell>
          <cell r="K242">
            <v>43465</v>
          </cell>
          <cell r="L242">
            <v>43830</v>
          </cell>
          <cell r="M242">
            <v>44196</v>
          </cell>
          <cell r="N242">
            <v>44561</v>
          </cell>
          <cell r="O242">
            <v>44926</v>
          </cell>
        </row>
        <row r="243">
          <cell r="A243" t="str">
            <v>Current Assets</v>
          </cell>
        </row>
        <row r="244">
          <cell r="A244" t="str">
            <v>Cash and equivalents</v>
          </cell>
          <cell r="E244">
            <v>3.7897674299999999</v>
          </cell>
          <cell r="G244">
            <v>2.3538741600000002</v>
          </cell>
          <cell r="I244">
            <v>-0.35387416000000016</v>
          </cell>
          <cell r="J244">
            <v>2</v>
          </cell>
          <cell r="K244">
            <v>2.5128365220379449</v>
          </cell>
          <cell r="L244">
            <v>2.668495953685825</v>
          </cell>
          <cell r="M244">
            <v>13.958641121258212</v>
          </cell>
          <cell r="N244">
            <v>22.145421735352954</v>
          </cell>
          <cell r="O244">
            <v>31.613055518965915</v>
          </cell>
        </row>
        <row r="245">
          <cell r="A245" t="str">
            <v>Assets Whose Use Is Limited</v>
          </cell>
          <cell r="E245">
            <v>4.9033443400000003</v>
          </cell>
          <cell r="G245">
            <v>4.3172268999999996</v>
          </cell>
          <cell r="I245">
            <v>0</v>
          </cell>
          <cell r="J245">
            <v>4.3172268999999996</v>
          </cell>
          <cell r="K245">
            <v>4.854285711188016</v>
          </cell>
          <cell r="L245">
            <v>5.0989451284084382</v>
          </cell>
          <cell r="M245">
            <v>5.5583527798932124</v>
          </cell>
          <cell r="N245">
            <v>6.3716534564801606</v>
          </cell>
          <cell r="O245">
            <v>6.4858851653010259</v>
          </cell>
        </row>
        <row r="246">
          <cell r="A246" t="str">
            <v>Accounts receivable, net</v>
          </cell>
          <cell r="E246">
            <v>20.051679440000001</v>
          </cell>
          <cell r="G246">
            <v>13.77836484</v>
          </cell>
          <cell r="I246">
            <v>0</v>
          </cell>
          <cell r="J246">
            <v>13.77836484</v>
          </cell>
          <cell r="K246">
            <v>17.89713124557008</v>
          </cell>
          <cell r="L246">
            <v>18.799159259777547</v>
          </cell>
          <cell r="M246">
            <v>20.492936578012465</v>
          </cell>
          <cell r="N246">
            <v>23.491472267298306</v>
          </cell>
          <cell r="O246">
            <v>23.912629983759214</v>
          </cell>
        </row>
        <row r="247">
          <cell r="A247" t="str">
            <v>Inventory</v>
          </cell>
          <cell r="E247">
            <v>0.30898407</v>
          </cell>
          <cell r="G247">
            <v>0.33262145999999998</v>
          </cell>
          <cell r="I247">
            <v>0</v>
          </cell>
          <cell r="J247">
            <v>0.33262145999999998</v>
          </cell>
          <cell r="K247">
            <v>0.33642377445877403</v>
          </cell>
          <cell r="L247">
            <v>0.35337976953102013</v>
          </cell>
          <cell r="M247">
            <v>0.3852187805252707</v>
          </cell>
          <cell r="N247">
            <v>0.44158416560275782</v>
          </cell>
          <cell r="O247">
            <v>0.44950093542860842</v>
          </cell>
        </row>
        <row r="248">
          <cell r="A248" t="str">
            <v>Prepaid expenses and other</v>
          </cell>
          <cell r="E248">
            <v>1.4493971099999996</v>
          </cell>
          <cell r="G248">
            <v>2.4426560999999998</v>
          </cell>
          <cell r="I248">
            <v>0</v>
          </cell>
          <cell r="J248">
            <v>2.4426560999999998</v>
          </cell>
          <cell r="K248">
            <v>2.0228765601871217</v>
          </cell>
          <cell r="L248">
            <v>2.1248309629087347</v>
          </cell>
          <cell r="M248">
            <v>2.3162751887023014</v>
          </cell>
          <cell r="N248">
            <v>2.6551936152094684</v>
          </cell>
          <cell r="O248">
            <v>2.7027962204024978</v>
          </cell>
        </row>
        <row r="249">
          <cell r="A249" t="str">
            <v>Total Current Assets</v>
          </cell>
          <cell r="E249">
            <v>30.503172390000003</v>
          </cell>
          <cell r="G249">
            <v>23.224743459999999</v>
          </cell>
          <cell r="J249">
            <v>22.870869299999999</v>
          </cell>
          <cell r="K249">
            <v>27.623553813441937</v>
          </cell>
          <cell r="L249">
            <v>29.044811074311568</v>
          </cell>
          <cell r="M249">
            <v>42.711424448391455</v>
          </cell>
          <cell r="N249">
            <v>55.105325239943646</v>
          </cell>
          <cell r="O249">
            <v>65.16386782385726</v>
          </cell>
        </row>
        <row r="251">
          <cell r="A251" t="str">
            <v xml:space="preserve">Property and equipment, net </v>
          </cell>
          <cell r="E251">
            <v>11.03068433</v>
          </cell>
          <cell r="G251">
            <v>9.9493387900000005</v>
          </cell>
          <cell r="I251">
            <v>0</v>
          </cell>
          <cell r="J251">
            <v>9.9493387900000005</v>
          </cell>
          <cell r="K251">
            <v>9.0652972261297027</v>
          </cell>
          <cell r="L251">
            <v>15.045536920844103</v>
          </cell>
          <cell r="M251">
            <v>12.677419193731652</v>
          </cell>
          <cell r="N251">
            <v>11.720195019253019</v>
          </cell>
          <cell r="O251">
            <v>12.95500159215349</v>
          </cell>
        </row>
        <row r="252">
          <cell r="A252" t="str">
            <v>Goodwill</v>
          </cell>
          <cell r="E252">
            <v>0</v>
          </cell>
          <cell r="G252">
            <v>0</v>
          </cell>
          <cell r="I252">
            <v>12.342571400000002</v>
          </cell>
          <cell r="J252">
            <v>12.342571400000002</v>
          </cell>
          <cell r="K252">
            <v>11.519733306666669</v>
          </cell>
          <cell r="L252">
            <v>10.696895213333336</v>
          </cell>
          <cell r="M252">
            <v>9.8740571200000034</v>
          </cell>
          <cell r="N252">
            <v>9.0512190266666703</v>
          </cell>
          <cell r="O252">
            <v>8.2283809333333373</v>
          </cell>
        </row>
        <row r="253">
          <cell r="A253" t="str">
            <v>Deferred Transaction Expenses</v>
          </cell>
          <cell r="E253">
            <v>0</v>
          </cell>
          <cell r="G253">
            <v>0</v>
          </cell>
          <cell r="I253">
            <v>6.4809239999999999</v>
          </cell>
          <cell r="J253">
            <v>6.4809239999999999</v>
          </cell>
          <cell r="K253">
            <v>5.555077714285714</v>
          </cell>
          <cell r="L253">
            <v>4.629231428571428</v>
          </cell>
          <cell r="M253">
            <v>3.703385142857142</v>
          </cell>
          <cell r="N253">
            <v>2.7775388571428561</v>
          </cell>
          <cell r="O253">
            <v>1.8516925714285704</v>
          </cell>
        </row>
        <row r="254">
          <cell r="A254" t="str">
            <v>Intangible assets</v>
          </cell>
          <cell r="E254">
            <v>0</v>
          </cell>
          <cell r="G254">
            <v>0</v>
          </cell>
          <cell r="I254">
            <v>0</v>
          </cell>
          <cell r="J254">
            <v>0</v>
          </cell>
          <cell r="K254">
            <v>0</v>
          </cell>
          <cell r="L254">
            <v>0</v>
          </cell>
          <cell r="M254">
            <v>0</v>
          </cell>
          <cell r="N254">
            <v>0</v>
          </cell>
          <cell r="O254">
            <v>0</v>
          </cell>
        </row>
        <row r="255">
          <cell r="A255" t="str">
            <v>Total Assets</v>
          </cell>
          <cell r="E255">
            <v>41.533856720000003</v>
          </cell>
          <cell r="G255">
            <v>33.174082249999998</v>
          </cell>
          <cell r="J255">
            <v>51.643703490000007</v>
          </cell>
          <cell r="K255">
            <v>53.763662060524027</v>
          </cell>
          <cell r="L255">
            <v>59.416474637060439</v>
          </cell>
          <cell r="M255">
            <v>68.966285904980253</v>
          </cell>
          <cell r="N255">
            <v>78.654278143006195</v>
          </cell>
          <cell r="O255">
            <v>88.198942920772652</v>
          </cell>
        </row>
        <row r="258">
          <cell r="A258" t="str">
            <v>Current Liabilities</v>
          </cell>
        </row>
        <row r="259">
          <cell r="A259" t="str">
            <v>Accounts payable</v>
          </cell>
          <cell r="E259">
            <v>3.2933055100000002</v>
          </cell>
          <cell r="G259">
            <v>1.8085345900000001</v>
          </cell>
          <cell r="I259">
            <v>0</v>
          </cell>
          <cell r="J259">
            <v>1.8085345900000001</v>
          </cell>
          <cell r="K259">
            <v>2.7103817671845509</v>
          </cell>
          <cell r="L259">
            <v>2.8469869163367512</v>
          </cell>
          <cell r="M259">
            <v>3.1034963589967854</v>
          </cell>
          <cell r="N259">
            <v>3.5576013409057796</v>
          </cell>
          <cell r="O259">
            <v>3.6213824117456817</v>
          </cell>
        </row>
        <row r="260">
          <cell r="A260" t="str">
            <v>Accrued Liabilities</v>
          </cell>
          <cell r="E260">
            <v>3.1612852500000002</v>
          </cell>
          <cell r="G260">
            <v>3.6241547999999999</v>
          </cell>
          <cell r="I260">
            <v>0</v>
          </cell>
          <cell r="J260">
            <v>3.6241547999999999</v>
          </cell>
          <cell r="K260">
            <v>3.5534373816943106</v>
          </cell>
          <cell r="L260">
            <v>3.7325331273219051</v>
          </cell>
          <cell r="M260">
            <v>4.0688290149866759</v>
          </cell>
          <cell r="N260">
            <v>4.6641819049248436</v>
          </cell>
          <cell r="O260">
            <v>4.7478018746689683</v>
          </cell>
        </row>
        <row r="261">
          <cell r="A261" t="str">
            <v>Capital Leases (Short-term)</v>
          </cell>
          <cell r="E261">
            <v>0.29677928999999997</v>
          </cell>
          <cell r="G261">
            <v>0.31837822999999998</v>
          </cell>
          <cell r="I261">
            <v>0</v>
          </cell>
          <cell r="J261">
            <v>0.31837822999999998</v>
          </cell>
          <cell r="K261">
            <v>0.31837822999999998</v>
          </cell>
          <cell r="L261">
            <v>0.31837822999999998</v>
          </cell>
          <cell r="M261">
            <v>0.31837822999999998</v>
          </cell>
          <cell r="N261">
            <v>0.31837822999999998</v>
          </cell>
          <cell r="O261">
            <v>0.31837822999999998</v>
          </cell>
        </row>
        <row r="262">
          <cell r="A262" t="str">
            <v>Deferred Revenue</v>
          </cell>
          <cell r="E262">
            <v>0</v>
          </cell>
          <cell r="G262">
            <v>0</v>
          </cell>
          <cell r="I262">
            <v>0</v>
          </cell>
          <cell r="J262">
            <v>0</v>
          </cell>
          <cell r="K262">
            <v>0</v>
          </cell>
          <cell r="L262">
            <v>0</v>
          </cell>
          <cell r="M262">
            <v>0</v>
          </cell>
          <cell r="N262">
            <v>0</v>
          </cell>
          <cell r="O262">
            <v>0</v>
          </cell>
        </row>
        <row r="263">
          <cell r="A263" t="str">
            <v>Total Current Liabilities</v>
          </cell>
          <cell r="E263">
            <v>6.7513700500000002</v>
          </cell>
          <cell r="G263">
            <v>5.7510676200000006</v>
          </cell>
          <cell r="J263">
            <v>5.7510676200000006</v>
          </cell>
          <cell r="K263">
            <v>6.5821973788788615</v>
          </cell>
          <cell r="L263">
            <v>6.8978982736586563</v>
          </cell>
          <cell r="M263">
            <v>7.4907036039834622</v>
          </cell>
          <cell r="N263">
            <v>8.5401614758306241</v>
          </cell>
          <cell r="O263">
            <v>8.6875625164146513</v>
          </cell>
        </row>
        <row r="265">
          <cell r="A265" t="str">
            <v>Due to Affiliates</v>
          </cell>
          <cell r="E265">
            <v>19.670881090000002</v>
          </cell>
          <cell r="G265">
            <v>14.71453185</v>
          </cell>
          <cell r="I265">
            <v>-14.71453185</v>
          </cell>
          <cell r="J265">
            <v>0</v>
          </cell>
          <cell r="K265">
            <v>0</v>
          </cell>
          <cell r="L265">
            <v>0</v>
          </cell>
          <cell r="M265">
            <v>0</v>
          </cell>
          <cell r="N265">
            <v>0</v>
          </cell>
          <cell r="O265">
            <v>0</v>
          </cell>
        </row>
        <row r="266">
          <cell r="A266" t="str">
            <v>Capital Leases (Long-term)</v>
          </cell>
          <cell r="E266">
            <v>0.45778054000000001</v>
          </cell>
          <cell r="G266">
            <v>0.13940227999999999</v>
          </cell>
          <cell r="I266">
            <v>0</v>
          </cell>
          <cell r="J266">
            <v>0.13940227999999999</v>
          </cell>
          <cell r="K266">
            <v>0.13940227999999999</v>
          </cell>
          <cell r="L266">
            <v>0.13940227999999999</v>
          </cell>
          <cell r="M266">
            <v>0.13940227999999999</v>
          </cell>
          <cell r="N266">
            <v>0.13940227999999999</v>
          </cell>
          <cell r="O266">
            <v>0.13940227999999999</v>
          </cell>
        </row>
        <row r="267">
          <cell r="A267" t="str">
            <v>Other Non-Current Liabilities</v>
          </cell>
          <cell r="E267">
            <v>0.84448939000000001</v>
          </cell>
          <cell r="G267">
            <v>0.45777773999999999</v>
          </cell>
          <cell r="I267">
            <v>0</v>
          </cell>
          <cell r="J267">
            <v>0.45777773999999999</v>
          </cell>
          <cell r="K267">
            <v>0.45777773999999999</v>
          </cell>
          <cell r="L267">
            <v>0.45777773999999999</v>
          </cell>
          <cell r="M267">
            <v>0.45777773999999999</v>
          </cell>
          <cell r="N267">
            <v>0.45777773999999999</v>
          </cell>
          <cell r="O267">
            <v>0.45777773999999999</v>
          </cell>
        </row>
        <row r="269">
          <cell r="A269" t="str">
            <v>Long-term debt</v>
          </cell>
          <cell r="E269">
            <v>0</v>
          </cell>
          <cell r="G269">
            <v>0</v>
          </cell>
          <cell r="I269">
            <v>0</v>
          </cell>
          <cell r="J269">
            <v>0</v>
          </cell>
          <cell r="K269">
            <v>0</v>
          </cell>
          <cell r="L269">
            <v>0</v>
          </cell>
          <cell r="M269">
            <v>0</v>
          </cell>
          <cell r="N269">
            <v>0</v>
          </cell>
          <cell r="O269">
            <v>0</v>
          </cell>
        </row>
        <row r="270">
          <cell r="A270" t="str">
            <v>Revolver</v>
          </cell>
          <cell r="E270">
            <v>0</v>
          </cell>
          <cell r="G270">
            <v>0</v>
          </cell>
          <cell r="I270">
            <v>0</v>
          </cell>
          <cell r="J270">
            <v>0</v>
          </cell>
          <cell r="K270">
            <v>0</v>
          </cell>
          <cell r="L270">
            <v>0</v>
          </cell>
          <cell r="M270">
            <v>0</v>
          </cell>
          <cell r="N270">
            <v>0</v>
          </cell>
          <cell r="O270">
            <v>0</v>
          </cell>
        </row>
        <row r="271">
          <cell r="A271" t="str">
            <v>Other liabilities</v>
          </cell>
          <cell r="E271">
            <v>0</v>
          </cell>
          <cell r="G271">
            <v>0</v>
          </cell>
          <cell r="I271">
            <v>0</v>
          </cell>
          <cell r="J271">
            <v>0</v>
          </cell>
          <cell r="K271">
            <v>0</v>
          </cell>
          <cell r="L271">
            <v>0</v>
          </cell>
          <cell r="M271">
            <v>0</v>
          </cell>
          <cell r="N271">
            <v>0</v>
          </cell>
          <cell r="O271">
            <v>0</v>
          </cell>
        </row>
        <row r="272">
          <cell r="A272" t="str">
            <v>Total Liabilities</v>
          </cell>
          <cell r="E272">
            <v>27.724521070000002</v>
          </cell>
          <cell r="G272">
            <v>21.06277949</v>
          </cell>
          <cell r="J272">
            <v>6.3482476400000003</v>
          </cell>
          <cell r="K272">
            <v>7.1793773988788612</v>
          </cell>
          <cell r="L272">
            <v>7.495078293658656</v>
          </cell>
          <cell r="M272">
            <v>8.0878836239834619</v>
          </cell>
          <cell r="N272">
            <v>9.1373414958306238</v>
          </cell>
          <cell r="O272">
            <v>9.284742536414651</v>
          </cell>
        </row>
        <row r="274">
          <cell r="A274" t="str">
            <v>Total Equity</v>
          </cell>
          <cell r="E274">
            <v>13.809335650000001</v>
          </cell>
          <cell r="G274">
            <v>12.111302759999999</v>
          </cell>
          <cell r="I274">
            <v>33.184153090000002</v>
          </cell>
          <cell r="J274">
            <v>45.295455850000003</v>
          </cell>
          <cell r="K274">
            <v>46.584284661645157</v>
          </cell>
          <cell r="L274">
            <v>51.921396343401774</v>
          </cell>
          <cell r="M274">
            <v>60.878402280996795</v>
          </cell>
          <cell r="N274">
            <v>69.516936647175555</v>
          </cell>
          <cell r="O274">
            <v>78.914200384357997</v>
          </cell>
        </row>
        <row r="275">
          <cell r="A275" t="str">
            <v>Total Shareholder Equity</v>
          </cell>
          <cell r="E275">
            <v>13.809335650000001</v>
          </cell>
          <cell r="G275">
            <v>12.111302759999999</v>
          </cell>
          <cell r="J275">
            <v>45.295455850000003</v>
          </cell>
          <cell r="K275">
            <v>46.584284661645157</v>
          </cell>
          <cell r="L275">
            <v>51.921396343401774</v>
          </cell>
          <cell r="M275">
            <v>60.878402280996795</v>
          </cell>
          <cell r="N275">
            <v>69.516936647175555</v>
          </cell>
          <cell r="O275">
            <v>78.914200384357997</v>
          </cell>
        </row>
        <row r="277">
          <cell r="A277" t="str">
            <v>Total Liabilities and SE</v>
          </cell>
          <cell r="E277">
            <v>41.533856720000003</v>
          </cell>
          <cell r="G277">
            <v>33.174082249999998</v>
          </cell>
          <cell r="J277">
            <v>51.643703490000007</v>
          </cell>
          <cell r="K277">
            <v>53.76366206052402</v>
          </cell>
          <cell r="L277">
            <v>59.416474637060432</v>
          </cell>
          <cell r="M277">
            <v>68.966285904980253</v>
          </cell>
          <cell r="N277">
            <v>78.654278143006181</v>
          </cell>
          <cell r="O277">
            <v>88.198942920772652</v>
          </cell>
        </row>
        <row r="278">
          <cell r="A278" t="str">
            <v>Check</v>
          </cell>
          <cell r="E278">
            <v>0</v>
          </cell>
          <cell r="G278">
            <v>0</v>
          </cell>
          <cell r="J278">
            <v>0</v>
          </cell>
          <cell r="K278">
            <v>7.1054273576010019E-15</v>
          </cell>
          <cell r="L278">
            <v>7.1054273576010019E-15</v>
          </cell>
          <cell r="M278">
            <v>0</v>
          </cell>
          <cell r="N278">
            <v>1.4210854715202004E-14</v>
          </cell>
          <cell r="O278">
            <v>0</v>
          </cell>
        </row>
        <row r="282">
          <cell r="A282" t="str">
            <v>Memo: Working Capital Calculation</v>
          </cell>
          <cell r="E282">
            <v>42674</v>
          </cell>
          <cell r="G282">
            <v>43039</v>
          </cell>
          <cell r="K282">
            <v>43465</v>
          </cell>
          <cell r="L282">
            <v>43830</v>
          </cell>
          <cell r="M282">
            <v>44196</v>
          </cell>
          <cell r="N282">
            <v>44561</v>
          </cell>
          <cell r="O282">
            <v>44926</v>
          </cell>
        </row>
        <row r="283">
          <cell r="A283" t="str">
            <v>Trade &amp; Other Receivables</v>
          </cell>
          <cell r="E283">
            <v>20.051679440000001</v>
          </cell>
          <cell r="G283">
            <v>13.77836484</v>
          </cell>
          <cell r="K283">
            <v>17.89713124557008</v>
          </cell>
          <cell r="L283">
            <v>18.799159259777547</v>
          </cell>
          <cell r="M283">
            <v>20.492936578012465</v>
          </cell>
          <cell r="N283">
            <v>23.491472267298306</v>
          </cell>
          <cell r="O283">
            <v>23.912629983759214</v>
          </cell>
        </row>
        <row r="284">
          <cell r="A284" t="str">
            <v>DSO (Sales)</v>
          </cell>
          <cell r="E284">
            <v>57.812546477984263</v>
          </cell>
          <cell r="G284">
            <v>36.660216780594837</v>
          </cell>
          <cell r="K284">
            <v>47.236381629289554</v>
          </cell>
          <cell r="L284">
            <v>47.236381629289554</v>
          </cell>
          <cell r="M284">
            <v>47.236381629289554</v>
          </cell>
          <cell r="N284">
            <v>47.236381629289554</v>
          </cell>
          <cell r="O284">
            <v>47.236381629289554</v>
          </cell>
        </row>
        <row r="285">
          <cell r="A285" t="str">
            <v xml:space="preserve">Assets Limited Use </v>
          </cell>
          <cell r="E285">
            <v>4.9033443400000003</v>
          </cell>
          <cell r="G285">
            <v>4.3172268999999996</v>
          </cell>
          <cell r="K285">
            <v>4.854285711188016</v>
          </cell>
          <cell r="L285">
            <v>5.0989451284084382</v>
          </cell>
          <cell r="M285">
            <v>5.5583527798932124</v>
          </cell>
          <cell r="N285">
            <v>6.3716534564801606</v>
          </cell>
          <cell r="O285">
            <v>6.4858851653010259</v>
          </cell>
        </row>
        <row r="286">
          <cell r="A286" t="str">
            <v xml:space="preserve">% of Sales </v>
          </cell>
          <cell r="E286">
            <v>3.8732084850369823E-2</v>
          </cell>
          <cell r="G286">
            <v>3.1470914157447384E-2</v>
          </cell>
          <cell r="K286">
            <v>3.5101499503908604E-2</v>
          </cell>
          <cell r="L286">
            <v>3.5101499503908604E-2</v>
          </cell>
          <cell r="M286">
            <v>3.5101499503908604E-2</v>
          </cell>
          <cell r="N286">
            <v>3.5101499503908604E-2</v>
          </cell>
          <cell r="O286">
            <v>3.5101499503908604E-2</v>
          </cell>
        </row>
        <row r="287">
          <cell r="A287" t="str">
            <v>Inventory</v>
          </cell>
          <cell r="E287">
            <v>0.30898407</v>
          </cell>
          <cell r="G287">
            <v>0.33262145999999998</v>
          </cell>
          <cell r="K287">
            <v>0.33642377445877403</v>
          </cell>
          <cell r="L287">
            <v>0.35337976953102013</v>
          </cell>
          <cell r="M287">
            <v>0.3852187805252707</v>
          </cell>
          <cell r="N287">
            <v>0.44158416560275782</v>
          </cell>
          <cell r="O287">
            <v>0.44950093542860842</v>
          </cell>
        </row>
        <row r="288">
          <cell r="A288" t="str">
            <v xml:space="preserve">% of Sales </v>
          </cell>
          <cell r="E288">
            <v>2.4407009556772444E-3</v>
          </cell>
          <cell r="G288">
            <v>2.4246817823230047E-3</v>
          </cell>
          <cell r="K288">
            <v>2.4326913690001246E-3</v>
          </cell>
          <cell r="L288">
            <v>2.4326913690001246E-3</v>
          </cell>
          <cell r="M288">
            <v>2.4326913690001246E-3</v>
          </cell>
          <cell r="N288">
            <v>2.4326913690001246E-3</v>
          </cell>
          <cell r="O288">
            <v>2.4326913690001246E-3</v>
          </cell>
        </row>
        <row r="289">
          <cell r="A289" t="str">
            <v xml:space="preserve">Prepaid Expenses and Other </v>
          </cell>
          <cell r="E289">
            <v>1.4493971099999996</v>
          </cell>
          <cell r="G289">
            <v>2.4426560999999998</v>
          </cell>
          <cell r="K289">
            <v>2.0228765601871217</v>
          </cell>
          <cell r="L289">
            <v>2.1248309629087347</v>
          </cell>
          <cell r="M289">
            <v>2.3162751887023014</v>
          </cell>
          <cell r="N289">
            <v>2.6551936152094684</v>
          </cell>
          <cell r="O289">
            <v>2.7027962204024978</v>
          </cell>
        </row>
        <row r="290">
          <cell r="A290" t="str">
            <v>% Sales</v>
          </cell>
          <cell r="E290">
            <v>1.1448955642058943E-2</v>
          </cell>
          <cell r="G290">
            <v>1.7806018126882612E-2</v>
          </cell>
          <cell r="K290">
            <v>1.4627486884470776E-2</v>
          </cell>
          <cell r="L290">
            <v>1.4627486884470776E-2</v>
          </cell>
          <cell r="M290">
            <v>1.4627486884470776E-2</v>
          </cell>
          <cell r="N290">
            <v>1.4627486884470776E-2</v>
          </cell>
          <cell r="O290">
            <v>1.4627486884470776E-2</v>
          </cell>
        </row>
        <row r="291">
          <cell r="A291" t="str">
            <v>Trade &amp; Other Payable</v>
          </cell>
          <cell r="E291">
            <v>3.2933055100000002</v>
          </cell>
          <cell r="G291">
            <v>1.8085345900000001</v>
          </cell>
          <cell r="K291">
            <v>2.7103817671845509</v>
          </cell>
          <cell r="L291">
            <v>2.8469869163367512</v>
          </cell>
          <cell r="M291">
            <v>3.1034963589967854</v>
          </cell>
          <cell r="N291">
            <v>3.5576013409057796</v>
          </cell>
          <cell r="O291">
            <v>3.6213824117456817</v>
          </cell>
        </row>
        <row r="292">
          <cell r="A292" t="str">
            <v xml:space="preserve">% of Sales </v>
          </cell>
          <cell r="E292">
            <v>2.6014201656396511E-2</v>
          </cell>
          <cell r="G292">
            <v>1.3183517603085516E-2</v>
          </cell>
          <cell r="K292">
            <v>1.9598859629741013E-2</v>
          </cell>
          <cell r="L292">
            <v>1.9598859629741013E-2</v>
          </cell>
          <cell r="M292">
            <v>1.9598859629741013E-2</v>
          </cell>
          <cell r="N292">
            <v>1.9598859629741013E-2</v>
          </cell>
          <cell r="O292">
            <v>1.9598859629741013E-2</v>
          </cell>
        </row>
        <row r="293">
          <cell r="A293" t="str">
            <v>Accrued Liabilities</v>
          </cell>
          <cell r="E293">
            <v>3.1612852500000002</v>
          </cell>
          <cell r="G293">
            <v>3.6241547999999999</v>
          </cell>
          <cell r="K293">
            <v>3.5534373816943106</v>
          </cell>
          <cell r="L293">
            <v>3.7325331273219051</v>
          </cell>
          <cell r="M293">
            <v>4.0688290149866759</v>
          </cell>
          <cell r="N293">
            <v>4.6641819049248436</v>
          </cell>
          <cell r="O293">
            <v>4.7478018746689683</v>
          </cell>
        </row>
        <row r="294">
          <cell r="A294" t="str">
            <v>% Sales</v>
          </cell>
          <cell r="E294">
            <v>2.4971358331979308E-2</v>
          </cell>
          <cell r="G294">
            <v>2.6418686635187257E-2</v>
          </cell>
          <cell r="K294">
            <v>2.5695022483583282E-2</v>
          </cell>
          <cell r="L294">
            <v>2.5695022483583282E-2</v>
          </cell>
          <cell r="M294">
            <v>2.5695022483583282E-2</v>
          </cell>
          <cell r="N294">
            <v>2.5695022483583282E-2</v>
          </cell>
          <cell r="O294">
            <v>2.5695022483583282E-2</v>
          </cell>
        </row>
        <row r="295">
          <cell r="A295" t="str">
            <v>Total Working Capital</v>
          </cell>
          <cell r="E295">
            <v>20.258814200000003</v>
          </cell>
          <cell r="G295">
            <v>15.438179909999999</v>
          </cell>
          <cell r="K295">
            <v>18.846898142525127</v>
          </cell>
          <cell r="L295">
            <v>19.796795076967086</v>
          </cell>
          <cell r="M295">
            <v>21.580457953149789</v>
          </cell>
          <cell r="N295">
            <v>24.73812025876007</v>
          </cell>
          <cell r="O295">
            <v>25.181628018476694</v>
          </cell>
        </row>
        <row r="296">
          <cell r="A296" t="str">
            <v>% Sales</v>
          </cell>
          <cell r="B296" t="str">
            <v>% Net Sales</v>
          </cell>
          <cell r="E296">
            <v>0.1600267197555775</v>
          </cell>
          <cell r="G296">
            <v>0.11253835991220171</v>
          </cell>
          <cell r="K296">
            <v>0.13628253983388958</v>
          </cell>
          <cell r="L296">
            <v>0.13628253983388963</v>
          </cell>
          <cell r="M296">
            <v>0.1362825398338896</v>
          </cell>
          <cell r="N296">
            <v>0.1362825398338896</v>
          </cell>
          <cell r="O296">
            <v>0.1362825398338896</v>
          </cell>
        </row>
        <row r="299">
          <cell r="A299" t="str">
            <v>DEBT SCHEDULE</v>
          </cell>
        </row>
        <row r="300">
          <cell r="J300">
            <v>43039</v>
          </cell>
          <cell r="K300">
            <v>43465</v>
          </cell>
          <cell r="L300">
            <v>43830</v>
          </cell>
          <cell r="M300">
            <v>44196</v>
          </cell>
          <cell r="N300">
            <v>44561</v>
          </cell>
          <cell r="O300">
            <v>44926</v>
          </cell>
        </row>
        <row r="301">
          <cell r="A301" t="str">
            <v>Interest Expense</v>
          </cell>
        </row>
        <row r="302">
          <cell r="A302" t="str">
            <v>Revolver Ending Balance</v>
          </cell>
          <cell r="J302">
            <v>0</v>
          </cell>
          <cell r="K302">
            <v>0</v>
          </cell>
          <cell r="L302">
            <v>0</v>
          </cell>
          <cell r="M302">
            <v>0</v>
          </cell>
          <cell r="N302">
            <v>0</v>
          </cell>
          <cell r="O302">
            <v>0</v>
          </cell>
        </row>
        <row r="303">
          <cell r="A303" t="str">
            <v>Revolver Unused (Net of LoCs)</v>
          </cell>
          <cell r="J303">
            <v>15</v>
          </cell>
          <cell r="K303">
            <v>15</v>
          </cell>
          <cell r="L303">
            <v>15</v>
          </cell>
          <cell r="M303">
            <v>15</v>
          </cell>
          <cell r="N303">
            <v>15</v>
          </cell>
          <cell r="O303">
            <v>15</v>
          </cell>
        </row>
        <row r="304">
          <cell r="A304" t="str">
            <v>Cash Ending Balance</v>
          </cell>
          <cell r="J304">
            <v>2</v>
          </cell>
          <cell r="K304">
            <v>2.5128365220379449</v>
          </cell>
          <cell r="L304">
            <v>2.668495953685825</v>
          </cell>
          <cell r="M304">
            <v>13.958641121258212</v>
          </cell>
          <cell r="N304">
            <v>22.145421735352954</v>
          </cell>
          <cell r="O304">
            <v>31.613055518965915</v>
          </cell>
        </row>
        <row r="305">
          <cell r="A305" t="str">
            <v>Net Debt</v>
          </cell>
          <cell r="J305">
            <v>-2</v>
          </cell>
          <cell r="K305">
            <v>-2.5128365220379449</v>
          </cell>
          <cell r="L305">
            <v>-2.668495953685825</v>
          </cell>
          <cell r="M305">
            <v>-13.958641121258212</v>
          </cell>
          <cell r="N305">
            <v>-22.145421735352954</v>
          </cell>
          <cell r="O305">
            <v>-31.613055518965915</v>
          </cell>
        </row>
        <row r="306">
          <cell r="A306" t="str">
            <v>Letters of Credit</v>
          </cell>
          <cell r="J306">
            <v>0</v>
          </cell>
          <cell r="K306">
            <v>0</v>
          </cell>
          <cell r="L306">
            <v>0</v>
          </cell>
          <cell r="M306">
            <v>0</v>
          </cell>
          <cell r="N306">
            <v>0</v>
          </cell>
          <cell r="O306">
            <v>0</v>
          </cell>
        </row>
        <row r="307">
          <cell r="E307" t="str">
            <v>Rate</v>
          </cell>
          <cell r="G307" t="str">
            <v>Floor</v>
          </cell>
        </row>
        <row r="308">
          <cell r="A308" t="str">
            <v>Revolver</v>
          </cell>
          <cell r="E308">
            <v>0</v>
          </cell>
          <cell r="G308">
            <v>0</v>
          </cell>
          <cell r="K308">
            <v>0</v>
          </cell>
          <cell r="L308">
            <v>0</v>
          </cell>
          <cell r="M308">
            <v>0</v>
          </cell>
          <cell r="N308">
            <v>0</v>
          </cell>
          <cell r="O308">
            <v>0</v>
          </cell>
          <cell r="R308" t="str">
            <v>&lt;---Delete and re-paste if #REF or #VALUE</v>
          </cell>
        </row>
        <row r="309">
          <cell r="A309" t="str">
            <v>Revolver Unused</v>
          </cell>
          <cell r="E309">
            <v>0</v>
          </cell>
          <cell r="K309">
            <v>0</v>
          </cell>
          <cell r="L309">
            <v>0</v>
          </cell>
          <cell r="M309">
            <v>0</v>
          </cell>
          <cell r="N309">
            <v>0</v>
          </cell>
          <cell r="O309">
            <v>0</v>
          </cell>
          <cell r="R309" t="str">
            <v>&lt;---Delete and re-paste if #REF or #VALUE</v>
          </cell>
        </row>
        <row r="310">
          <cell r="A310" t="str">
            <v>Cash</v>
          </cell>
          <cell r="E310">
            <v>0</v>
          </cell>
          <cell r="K310">
            <v>0</v>
          </cell>
          <cell r="L310">
            <v>0</v>
          </cell>
          <cell r="M310">
            <v>0</v>
          </cell>
          <cell r="N310">
            <v>0</v>
          </cell>
          <cell r="O310">
            <v>0</v>
          </cell>
          <cell r="R310" t="str">
            <v>&lt;---Delete and re-paste if #REF or #VALUE</v>
          </cell>
        </row>
        <row r="311">
          <cell r="A311" t="str">
            <v>Letters of Credit Charge</v>
          </cell>
          <cell r="E311">
            <v>0</v>
          </cell>
          <cell r="K311">
            <v>0</v>
          </cell>
          <cell r="L311">
            <v>0</v>
          </cell>
          <cell r="M311">
            <v>0</v>
          </cell>
          <cell r="N311">
            <v>0</v>
          </cell>
          <cell r="O311">
            <v>0</v>
          </cell>
          <cell r="R311" t="str">
            <v>&lt;---Delete and re-paste if #REF or #VALUE</v>
          </cell>
        </row>
        <row r="312">
          <cell r="A312" t="str">
            <v>Total Interest Expense</v>
          </cell>
          <cell r="K312">
            <v>0</v>
          </cell>
          <cell r="L312">
            <v>0</v>
          </cell>
          <cell r="M312">
            <v>0</v>
          </cell>
          <cell r="N312">
            <v>0</v>
          </cell>
          <cell r="O312">
            <v>0</v>
          </cell>
        </row>
        <row r="314">
          <cell r="A314" t="str">
            <v>Memo: Libor Curve</v>
          </cell>
        </row>
        <row r="315">
          <cell r="A315" t="str">
            <v>LIBOR Curve</v>
          </cell>
          <cell r="K315">
            <v>3.3700000000000002E-3</v>
          </cell>
          <cell r="L315">
            <v>1.2109999999999999E-2</v>
          </cell>
          <cell r="M315">
            <v>2.2790000000000001E-2</v>
          </cell>
          <cell r="N315">
            <v>3.0079999999999999E-2</v>
          </cell>
          <cell r="O315">
            <v>3.4880000000000001E-2</v>
          </cell>
        </row>
        <row r="317">
          <cell r="A317" t="str">
            <v>Debt Paydown</v>
          </cell>
          <cell r="E317" t="str">
            <v>Amortization</v>
          </cell>
        </row>
        <row r="318">
          <cell r="A318" t="str">
            <v>Revolver Beginning Balance</v>
          </cell>
          <cell r="K318">
            <v>0</v>
          </cell>
          <cell r="L318">
            <v>0</v>
          </cell>
          <cell r="M318">
            <v>0</v>
          </cell>
          <cell r="N318">
            <v>0</v>
          </cell>
          <cell r="O318">
            <v>0</v>
          </cell>
        </row>
        <row r="319">
          <cell r="A319" t="str">
            <v>Optional Paydown</v>
          </cell>
          <cell r="E319" t="str">
            <v>-</v>
          </cell>
          <cell r="K319">
            <v>0</v>
          </cell>
          <cell r="L319">
            <v>0</v>
          </cell>
          <cell r="M319">
            <v>0</v>
          </cell>
          <cell r="N319">
            <v>0</v>
          </cell>
          <cell r="O319">
            <v>0</v>
          </cell>
        </row>
        <row r="320">
          <cell r="A320" t="str">
            <v>Revolver Ending Balance</v>
          </cell>
          <cell r="K320">
            <v>0</v>
          </cell>
          <cell r="L320">
            <v>0</v>
          </cell>
          <cell r="M320">
            <v>0</v>
          </cell>
          <cell r="N320">
            <v>0</v>
          </cell>
          <cell r="O320">
            <v>0</v>
          </cell>
        </row>
      </sheetData>
      <sheetData sheetId="4">
        <row r="1">
          <cell r="A1" t="str">
            <v>Illustrative Proceeds Summary</v>
          </cell>
        </row>
        <row r="2">
          <cell r="A2" t="str">
            <v>Financial Projections</v>
          </cell>
        </row>
        <row r="3">
          <cell r="A3" t="str">
            <v>($ in mm)</v>
          </cell>
        </row>
        <row r="4">
          <cell r="F4" t="str">
            <v>Historical / Estimated</v>
          </cell>
          <cell r="H4" t="str">
            <v>Projections</v>
          </cell>
        </row>
        <row r="5">
          <cell r="F5" t="str">
            <v>2016A</v>
          </cell>
          <cell r="G5" t="str">
            <v>2017A</v>
          </cell>
          <cell r="H5">
            <v>2018</v>
          </cell>
          <cell r="I5">
            <v>2019</v>
          </cell>
          <cell r="J5">
            <v>2020</v>
          </cell>
          <cell r="K5">
            <v>2021</v>
          </cell>
          <cell r="L5">
            <v>2022</v>
          </cell>
        </row>
        <row r="7">
          <cell r="A7" t="str">
            <v>Florida</v>
          </cell>
          <cell r="F7">
            <v>46.500388950000001</v>
          </cell>
          <cell r="G7">
            <v>49.190912970000007</v>
          </cell>
          <cell r="H7">
            <v>50.763240026861247</v>
          </cell>
          <cell r="I7">
            <v>52.383681345746155</v>
          </cell>
          <cell r="J7">
            <v>54.057090840242097</v>
          </cell>
          <cell r="K7">
            <v>55.785199907589387</v>
          </cell>
          <cell r="L7">
            <v>57.569796540075593</v>
          </cell>
        </row>
        <row r="8">
          <cell r="A8" t="str">
            <v>ETX Mgmt Agreement</v>
          </cell>
          <cell r="F8">
            <v>0.72396117787500014</v>
          </cell>
          <cell r="G8">
            <v>0.74270238283992851</v>
          </cell>
          <cell r="H8">
            <v>0.75755643049672705</v>
          </cell>
          <cell r="I8">
            <v>0.77270755910666167</v>
          </cell>
          <cell r="J8">
            <v>0.78816171028879489</v>
          </cell>
          <cell r="K8">
            <v>0.80392494449457086</v>
          </cell>
          <cell r="L8">
            <v>0.82000344338446218</v>
          </cell>
        </row>
        <row r="9">
          <cell r="A9" t="str">
            <v>Indiana</v>
          </cell>
          <cell r="F9">
            <v>9.7666342400000019</v>
          </cell>
          <cell r="G9">
            <v>10.329119669999999</v>
          </cell>
          <cell r="H9">
            <v>10.6174550446755</v>
          </cell>
          <cell r="I9">
            <v>10.91029203541528</v>
          </cell>
          <cell r="J9">
            <v>11.211225968949012</v>
          </cell>
          <cell r="K9">
            <v>11.520480725744951</v>
          </cell>
          <cell r="L9">
            <v>11.8382863765663</v>
          </cell>
        </row>
        <row r="10">
          <cell r="A10" t="str">
            <v>South Dakota</v>
          </cell>
          <cell r="F10">
            <v>3.9499227299999995</v>
          </cell>
          <cell r="G10">
            <v>4.7793874562566199</v>
          </cell>
          <cell r="H10">
            <v>4.9173105091441158</v>
          </cell>
          <cell r="I10">
            <v>5.0439137139079513</v>
          </cell>
          <cell r="J10">
            <v>5.1740174972835069</v>
          </cell>
          <cell r="K10">
            <v>5.307718650269396</v>
          </cell>
          <cell r="L10">
            <v>5.4451166401353461</v>
          </cell>
        </row>
        <row r="11">
          <cell r="A11" t="str">
            <v>Wylie</v>
          </cell>
          <cell r="F11">
            <v>1.05458593</v>
          </cell>
          <cell r="G11">
            <v>1.5983455762125887</v>
          </cell>
          <cell r="H11">
            <v>1.6368715813948669</v>
          </cell>
          <cell r="I11">
            <v>1.6764628306204352</v>
          </cell>
          <cell r="J11">
            <v>1.71714877788709</v>
          </cell>
          <cell r="K11">
            <v>1.7589596915956682</v>
          </cell>
          <cell r="L11">
            <v>1.8019266770682887</v>
          </cell>
        </row>
        <row r="12">
          <cell r="A12" t="str">
            <v>Other</v>
          </cell>
          <cell r="F12">
            <v>1.1878893988136605</v>
          </cell>
          <cell r="G12">
            <v>1.3107573400000003</v>
          </cell>
          <cell r="H12">
            <v>1.3107573400000003</v>
          </cell>
          <cell r="I12">
            <v>1.3107573400000003</v>
          </cell>
          <cell r="J12">
            <v>1.3107573400000003</v>
          </cell>
          <cell r="K12">
            <v>1.3107573400000003</v>
          </cell>
          <cell r="L12">
            <v>1.3107573400000003</v>
          </cell>
        </row>
        <row r="13">
          <cell r="A13" t="str">
            <v>Fleet Plus</v>
          </cell>
          <cell r="F13">
            <v>1.1625254388136605</v>
          </cell>
          <cell r="G13">
            <v>1.1144568200000002</v>
          </cell>
          <cell r="H13">
            <v>1.1144568200000002</v>
          </cell>
          <cell r="I13">
            <v>1.1144568200000002</v>
          </cell>
          <cell r="J13">
            <v>1.1144568200000002</v>
          </cell>
          <cell r="K13">
            <v>1.1144568200000002</v>
          </cell>
          <cell r="L13">
            <v>1.1144568200000002</v>
          </cell>
        </row>
        <row r="14">
          <cell r="A14" t="str">
            <v>Corporate (TX)</v>
          </cell>
          <cell r="F14">
            <v>0</v>
          </cell>
          <cell r="G14">
            <v>0</v>
          </cell>
          <cell r="H14">
            <v>0</v>
          </cell>
          <cell r="I14">
            <v>0</v>
          </cell>
          <cell r="J14">
            <v>0</v>
          </cell>
          <cell r="K14">
            <v>0</v>
          </cell>
          <cell r="L14">
            <v>0</v>
          </cell>
        </row>
        <row r="15">
          <cell r="A15" t="str">
            <v>Corporate (P+)</v>
          </cell>
          <cell r="F15">
            <v>2.5363960000000001E-2</v>
          </cell>
          <cell r="G15">
            <v>0.19630052000000001</v>
          </cell>
          <cell r="H15">
            <v>0.19630052000000001</v>
          </cell>
          <cell r="I15">
            <v>0.19630052000000001</v>
          </cell>
          <cell r="J15">
            <v>0.19630052000000001</v>
          </cell>
          <cell r="K15">
            <v>0.19630052000000001</v>
          </cell>
          <cell r="L15">
            <v>0.19630052000000001</v>
          </cell>
        </row>
        <row r="16">
          <cell r="A16" t="str">
            <v>Pro Forma Revenue</v>
          </cell>
          <cell r="F16">
            <v>63.183382426688659</v>
          </cell>
          <cell r="G16">
            <v>67.951225395309137</v>
          </cell>
          <cell r="H16">
            <v>70.003190932572451</v>
          </cell>
          <cell r="I16">
            <v>72.097814824796487</v>
          </cell>
          <cell r="J16">
            <v>74.258402134650495</v>
          </cell>
          <cell r="K16">
            <v>76.487041259693953</v>
          </cell>
          <cell r="L16">
            <v>78.785887017229982</v>
          </cell>
        </row>
        <row r="18">
          <cell r="A18" t="str">
            <v>Waco</v>
          </cell>
          <cell r="F18">
            <v>7.3208631200000021</v>
          </cell>
          <cell r="G18">
            <v>7.8023961096975523</v>
          </cell>
          <cell r="H18">
            <v>6.038225121334813</v>
          </cell>
          <cell r="I18">
            <v>0</v>
          </cell>
          <cell r="J18">
            <v>0</v>
          </cell>
          <cell r="K18">
            <v>0</v>
          </cell>
          <cell r="L18">
            <v>0</v>
          </cell>
        </row>
        <row r="19">
          <cell r="A19" t="str">
            <v>California</v>
          </cell>
          <cell r="F19">
            <v>56.092201789999997</v>
          </cell>
          <cell r="G19">
            <v>61.427868629062267</v>
          </cell>
          <cell r="H19">
            <v>62.251414161151899</v>
          </cell>
          <cell r="I19">
            <v>63.165071390097644</v>
          </cell>
          <cell r="J19">
            <v>64.092462029265988</v>
          </cell>
          <cell r="K19">
            <v>65.033792508979317</v>
          </cell>
          <cell r="L19">
            <v>65.989272362465854</v>
          </cell>
        </row>
        <row r="21">
          <cell r="A21" t="str">
            <v>Paramedics Plus (CORE)</v>
          </cell>
          <cell r="F21">
            <v>126.59644733668867</v>
          </cell>
          <cell r="G21">
            <v>137.18149013406895</v>
          </cell>
          <cell r="H21">
            <v>138.29283021505915</v>
          </cell>
          <cell r="I21">
            <v>135.26288621489414</v>
          </cell>
          <cell r="J21">
            <v>138.35086416391647</v>
          </cell>
          <cell r="K21">
            <v>141.52083376867327</v>
          </cell>
          <cell r="L21">
            <v>144.77515937969582</v>
          </cell>
        </row>
        <row r="22">
          <cell r="A22" t="str">
            <v>% Growth</v>
          </cell>
          <cell r="G22">
            <v>8.361247902343516E-2</v>
          </cell>
          <cell r="H22">
            <v>8.1012393137300798E-3</v>
          </cell>
          <cell r="I22">
            <v>-2.1909624638190905E-2</v>
          </cell>
          <cell r="J22">
            <v>2.2829454815243455E-2</v>
          </cell>
          <cell r="K22">
            <v>2.2912539245154795E-2</v>
          </cell>
          <cell r="L22">
            <v>2.2995381841390161E-2</v>
          </cell>
        </row>
        <row r="23">
          <cell r="A23" t="str">
            <v xml:space="preserve">Acquisitions </v>
          </cell>
          <cell r="H23">
            <v>10</v>
          </cell>
          <cell r="I23">
            <v>20.2</v>
          </cell>
          <cell r="J23">
            <v>30.603999999999999</v>
          </cell>
          <cell r="K23">
            <v>51.216079999999998</v>
          </cell>
          <cell r="L23">
            <v>72.240401599999998</v>
          </cell>
        </row>
        <row r="24">
          <cell r="A24" t="str">
            <v>% Growth</v>
          </cell>
          <cell r="H24" t="str">
            <v>NA</v>
          </cell>
          <cell r="I24">
            <v>1.02</v>
          </cell>
          <cell r="J24">
            <v>0.51504950495049506</v>
          </cell>
          <cell r="K24">
            <v>0.67350934518363603</v>
          </cell>
          <cell r="L24">
            <v>0.41050235785323674</v>
          </cell>
        </row>
        <row r="25">
          <cell r="A25" t="str">
            <v>New Business (RFPs)</v>
          </cell>
          <cell r="H25">
            <v>0</v>
          </cell>
          <cell r="I25">
            <v>10</v>
          </cell>
          <cell r="J25">
            <v>20</v>
          </cell>
          <cell r="K25">
            <v>40</v>
          </cell>
          <cell r="L25">
            <v>40</v>
          </cell>
        </row>
        <row r="26">
          <cell r="A26" t="str">
            <v>% Growth</v>
          </cell>
          <cell r="H26" t="str">
            <v>NA</v>
          </cell>
          <cell r="I26" t="str">
            <v>NA</v>
          </cell>
          <cell r="J26">
            <v>1</v>
          </cell>
          <cell r="K26">
            <v>1</v>
          </cell>
          <cell r="L26">
            <v>0</v>
          </cell>
        </row>
        <row r="28">
          <cell r="A28" t="str">
            <v>Total Revenue</v>
          </cell>
          <cell r="F28">
            <v>126.59644733668867</v>
          </cell>
          <cell r="G28">
            <v>137.18149013406895</v>
          </cell>
          <cell r="H28">
            <v>148.29283021505915</v>
          </cell>
          <cell r="I28">
            <v>165.46288621489413</v>
          </cell>
          <cell r="J28">
            <v>188.95486416391645</v>
          </cell>
          <cell r="K28">
            <v>232.73691376867328</v>
          </cell>
          <cell r="L28">
            <v>257.01556097969581</v>
          </cell>
        </row>
        <row r="29">
          <cell r="A29" t="str">
            <v>% Growth</v>
          </cell>
          <cell r="G29">
            <v>8.361247902343516E-2</v>
          </cell>
          <cell r="H29">
            <v>8.0997371220643322E-2</v>
          </cell>
          <cell r="I29">
            <v>0.11578480210361075</v>
          </cell>
          <cell r="J29">
            <v>0.14197732486372949</v>
          </cell>
          <cell r="K29">
            <v>0.2317063908276864</v>
          </cell>
          <cell r="L29">
            <v>0.10431799072129166</v>
          </cell>
        </row>
        <row r="32">
          <cell r="A32" t="str">
            <v>Florida</v>
          </cell>
          <cell r="F32">
            <v>9.5729633452596747</v>
          </cell>
          <cell r="G32">
            <v>8.8419483298922863</v>
          </cell>
          <cell r="H32">
            <v>9.2247950253973539</v>
          </cell>
          <cell r="I32">
            <v>9.6622215862677763</v>
          </cell>
          <cell r="J32">
            <v>10.117536550928387</v>
          </cell>
          <cell r="K32">
            <v>10.591426429178886</v>
          </cell>
          <cell r="L32">
            <v>11.084603132565491</v>
          </cell>
        </row>
        <row r="33">
          <cell r="A33" t="str">
            <v>ETX Mgmt Agreement</v>
          </cell>
          <cell r="F33">
            <v>1.7239611778750001</v>
          </cell>
          <cell r="G33">
            <v>1.7427023828399288</v>
          </cell>
          <cell r="H33">
            <v>1.7575564304967273</v>
          </cell>
          <cell r="I33">
            <v>1.7727075591066619</v>
          </cell>
          <cell r="J33">
            <v>1.788161710288795</v>
          </cell>
          <cell r="K33">
            <v>1.8039249444945709</v>
          </cell>
          <cell r="L33">
            <v>1.8200034433844623</v>
          </cell>
        </row>
        <row r="34">
          <cell r="A34" t="str">
            <v>Indiana</v>
          </cell>
          <cell r="F34">
            <v>1.1817537013243327</v>
          </cell>
          <cell r="G34">
            <v>1.2289897787014161</v>
          </cell>
          <cell r="H34">
            <v>1.3300815777271109</v>
          </cell>
          <cell r="I34">
            <v>1.4044657497093813</v>
          </cell>
          <cell r="J34">
            <v>1.4815539313243844</v>
          </cell>
          <cell r="K34">
            <v>1.5614361926755465</v>
          </cell>
          <cell r="L34">
            <v>1.6442054656996352</v>
          </cell>
        </row>
        <row r="35">
          <cell r="A35" t="str">
            <v>South Dakota</v>
          </cell>
          <cell r="F35">
            <v>0.73233729256564495</v>
          </cell>
          <cell r="G35">
            <v>1.2169548954015008</v>
          </cell>
          <cell r="H35">
            <v>1.2816064004042331</v>
          </cell>
          <cell r="I35">
            <v>1.329321727998531</v>
          </cell>
          <cell r="J35">
            <v>1.3786640809520185</v>
          </cell>
          <cell r="K35">
            <v>1.4296847279079465</v>
          </cell>
          <cell r="L35">
            <v>1.4824364960961953</v>
          </cell>
        </row>
        <row r="36">
          <cell r="A36" t="str">
            <v>Wylie</v>
          </cell>
          <cell r="F36">
            <v>0.11052414643694385</v>
          </cell>
          <cell r="G36">
            <v>0.61403432861635554</v>
          </cell>
          <cell r="H36">
            <v>0.61459692878493111</v>
          </cell>
          <cell r="I36">
            <v>0.63030127657562984</v>
          </cell>
          <cell r="J36">
            <v>0.64651833819175231</v>
          </cell>
          <cell r="K36">
            <v>0.66326402877566371</v>
          </cell>
          <cell r="L36">
            <v>0.68055474444605923</v>
          </cell>
        </row>
        <row r="37">
          <cell r="A37" t="str">
            <v>Other</v>
          </cell>
          <cell r="F37">
            <v>-7.1908341093285646</v>
          </cell>
          <cell r="G37">
            <v>-6.9224467881422251</v>
          </cell>
          <cell r="H37">
            <v>-6.9224467881422251</v>
          </cell>
          <cell r="I37">
            <v>-6.9224467881422251</v>
          </cell>
          <cell r="J37">
            <v>-6.9224467881422251</v>
          </cell>
          <cell r="K37">
            <v>-6.9224467881422251</v>
          </cell>
          <cell r="L37">
            <v>-6.9224467881422251</v>
          </cell>
        </row>
        <row r="38">
          <cell r="A38" t="str">
            <v>Fleet Plus</v>
          </cell>
          <cell r="F38">
            <v>-0.5074470111863395</v>
          </cell>
          <cell r="G38">
            <v>-0.38999019999999973</v>
          </cell>
          <cell r="H38">
            <v>-0.38999019999999973</v>
          </cell>
          <cell r="I38">
            <v>-0.38999019999999973</v>
          </cell>
          <cell r="J38">
            <v>-0.38999019999999973</v>
          </cell>
          <cell r="K38">
            <v>-0.38999019999999973</v>
          </cell>
          <cell r="L38">
            <v>-0.38999019999999973</v>
          </cell>
        </row>
        <row r="39">
          <cell r="A39" t="str">
            <v>Corporate (TX)</v>
          </cell>
          <cell r="F39">
            <v>-6.6038879781422253</v>
          </cell>
          <cell r="G39">
            <v>-6.6038879781422253</v>
          </cell>
          <cell r="H39">
            <v>-6.6038879781422253</v>
          </cell>
          <cell r="I39">
            <v>-6.6038879781422253</v>
          </cell>
          <cell r="J39">
            <v>-6.6038879781422253</v>
          </cell>
          <cell r="K39">
            <v>-6.6038879781422253</v>
          </cell>
          <cell r="L39">
            <v>-6.6038879781422253</v>
          </cell>
        </row>
        <row r="40">
          <cell r="A40" t="str">
            <v>Corporate (P+)</v>
          </cell>
          <cell r="F40">
            <v>-7.9499119999999826E-2</v>
          </cell>
          <cell r="G40">
            <v>7.1431389999999886E-2</v>
          </cell>
          <cell r="H40">
            <v>7.1431389999999886E-2</v>
          </cell>
          <cell r="I40">
            <v>7.1431389999999886E-2</v>
          </cell>
          <cell r="J40">
            <v>7.1431389999999886E-2</v>
          </cell>
          <cell r="K40">
            <v>7.1431389999999886E-2</v>
          </cell>
          <cell r="L40">
            <v>7.1431389999999886E-2</v>
          </cell>
        </row>
        <row r="41">
          <cell r="A41" t="str">
            <v xml:space="preserve">Pro Forma EBITDA </v>
          </cell>
          <cell r="F41">
            <v>6.1307055541330318</v>
          </cell>
          <cell r="G41">
            <v>6.7221829273092615</v>
          </cell>
          <cell r="H41">
            <v>7.2861895746681293</v>
          </cell>
          <cell r="I41">
            <v>7.8765711115157542</v>
          </cell>
          <cell r="J41">
            <v>8.4899878235431139</v>
          </cell>
          <cell r="K41">
            <v>9.1272895348903909</v>
          </cell>
          <cell r="L41">
            <v>9.7893564940496169</v>
          </cell>
        </row>
        <row r="42">
          <cell r="A42" t="str">
            <v>% Margin</v>
          </cell>
          <cell r="F42">
            <v>9.7030347516555579E-2</v>
          </cell>
          <cell r="G42">
            <v>9.8926588714223732E-2</v>
          </cell>
          <cell r="H42">
            <v>0.10408367786671663</v>
          </cell>
          <cell r="I42">
            <v>0.10924840275196215</v>
          </cell>
          <cell r="J42">
            <v>0.11433033272313721</v>
          </cell>
          <cell r="K42">
            <v>0.11933118845453575</v>
          </cell>
          <cell r="L42">
            <v>0.12425266586017805</v>
          </cell>
        </row>
        <row r="44">
          <cell r="A44" t="str">
            <v>Waco</v>
          </cell>
          <cell r="F44">
            <v>1.1135204999899571</v>
          </cell>
          <cell r="G44">
            <v>1.1578812525274307</v>
          </cell>
          <cell r="H44">
            <v>0.94986981873730958</v>
          </cell>
          <cell r="I44">
            <v>0</v>
          </cell>
          <cell r="J44">
            <v>0</v>
          </cell>
          <cell r="K44">
            <v>0</v>
          </cell>
          <cell r="L44">
            <v>0</v>
          </cell>
        </row>
        <row r="45">
          <cell r="A45" t="str">
            <v>California</v>
          </cell>
          <cell r="F45">
            <v>3.1239072695266805</v>
          </cell>
          <cell r="G45">
            <v>4.5704030117906438</v>
          </cell>
          <cell r="H45">
            <v>4.9519365511576323</v>
          </cell>
          <cell r="I45">
            <v>5.0854264445740842</v>
          </cell>
          <cell r="J45">
            <v>5.2212614102119765</v>
          </cell>
          <cell r="K45">
            <v>5.3594788133897309</v>
          </cell>
          <cell r="L45">
            <v>5.5001165942979569</v>
          </cell>
        </row>
        <row r="47">
          <cell r="A47" t="str">
            <v>Paramedics Plus (CORE)</v>
          </cell>
          <cell r="F47">
            <v>10.368133323649669</v>
          </cell>
          <cell r="G47">
            <v>12.450467191627336</v>
          </cell>
          <cell r="H47">
            <v>13.18799594456307</v>
          </cell>
          <cell r="I47">
            <v>12.961997556089838</v>
          </cell>
          <cell r="J47">
            <v>13.71124923375509</v>
          </cell>
          <cell r="K47">
            <v>14.486768348280123</v>
          </cell>
          <cell r="L47">
            <v>15.289473088347574</v>
          </cell>
        </row>
        <row r="48">
          <cell r="A48" t="str">
            <v>% Margin</v>
          </cell>
          <cell r="F48">
            <v>8.1899085967832685E-2</v>
          </cell>
          <cell r="G48">
            <v>9.0759089870356122E-2</v>
          </cell>
          <cell r="H48">
            <v>9.5362832072020079E-2</v>
          </cell>
          <cell r="I48">
            <v>9.5828189969988667E-2</v>
          </cell>
          <cell r="J48">
            <v>9.9104904885235587E-2</v>
          </cell>
          <cell r="K48">
            <v>0.10236491661686974</v>
          </cell>
          <cell r="L48">
            <v>0.10560840101200307</v>
          </cell>
        </row>
        <row r="49">
          <cell r="A49" t="str">
            <v xml:space="preserve">Acquisitions </v>
          </cell>
          <cell r="H49">
            <v>1</v>
          </cell>
          <cell r="I49">
            <v>2.02</v>
          </cell>
          <cell r="J49">
            <v>3.0604</v>
          </cell>
          <cell r="K49">
            <v>5.1216080000000002</v>
          </cell>
          <cell r="L49">
            <v>7.2240401599999995</v>
          </cell>
        </row>
        <row r="50">
          <cell r="A50" t="str">
            <v>% Margin</v>
          </cell>
          <cell r="H50">
            <v>0.1</v>
          </cell>
          <cell r="I50">
            <v>0.1</v>
          </cell>
          <cell r="J50">
            <v>0.1</v>
          </cell>
          <cell r="K50">
            <v>0.1</v>
          </cell>
          <cell r="L50">
            <v>9.9999999999999992E-2</v>
          </cell>
        </row>
        <row r="51">
          <cell r="A51" t="str">
            <v>New Business (RFPs)</v>
          </cell>
          <cell r="H51">
            <v>0</v>
          </cell>
          <cell r="I51">
            <v>1</v>
          </cell>
          <cell r="J51">
            <v>2</v>
          </cell>
          <cell r="K51">
            <v>4</v>
          </cell>
          <cell r="L51">
            <v>4</v>
          </cell>
        </row>
        <row r="52">
          <cell r="A52" t="str">
            <v>% Margin</v>
          </cell>
          <cell r="H52" t="str">
            <v>NA</v>
          </cell>
          <cell r="I52">
            <v>0.1</v>
          </cell>
          <cell r="J52">
            <v>0.1</v>
          </cell>
          <cell r="K52">
            <v>0.1</v>
          </cell>
          <cell r="L52">
            <v>0.1</v>
          </cell>
        </row>
        <row r="54">
          <cell r="A54" t="str">
            <v xml:space="preserve">Total EBITDA </v>
          </cell>
          <cell r="F54">
            <v>10.368133323649669</v>
          </cell>
          <cell r="G54">
            <v>12.450467191627336</v>
          </cell>
          <cell r="H54">
            <v>14.18799594456307</v>
          </cell>
          <cell r="I54">
            <v>15.981997556089837</v>
          </cell>
          <cell r="J54">
            <v>18.771649233755092</v>
          </cell>
          <cell r="K54">
            <v>23.608376348280125</v>
          </cell>
          <cell r="L54">
            <v>26.513513248347572</v>
          </cell>
        </row>
        <row r="55">
          <cell r="A55" t="str">
            <v>% Margin</v>
          </cell>
          <cell r="F55">
            <v>8.1899085967832685E-2</v>
          </cell>
          <cell r="G55">
            <v>9.0759089870356122E-2</v>
          </cell>
          <cell r="H55">
            <v>9.5675535519735982E-2</v>
          </cell>
          <cell r="I55">
            <v>9.6589621525961386E-2</v>
          </cell>
          <cell r="J55">
            <v>9.9344620297632955E-2</v>
          </cell>
          <cell r="K55">
            <v>0.10143803991379491</v>
          </cell>
          <cell r="L55">
            <v>0.1031591750603853</v>
          </cell>
        </row>
        <row r="57">
          <cell r="A57" t="str">
            <v>Transaction Sources &amp; Uses</v>
          </cell>
        </row>
        <row r="58">
          <cell r="A58" t="str">
            <v>Sources</v>
          </cell>
          <cell r="E58" t="str">
            <v>$</v>
          </cell>
          <cell r="F58" t="str">
            <v>% Total</v>
          </cell>
          <cell r="H58" t="str">
            <v>Uses</v>
          </cell>
          <cell r="K58" t="str">
            <v>$</v>
          </cell>
          <cell r="L58" t="str">
            <v>% Total</v>
          </cell>
        </row>
        <row r="59">
          <cell r="A59" t="str">
            <v>Revolving Credit Facility</v>
          </cell>
          <cell r="E59">
            <v>0</v>
          </cell>
          <cell r="F59">
            <v>0</v>
          </cell>
          <cell r="H59" t="str">
            <v>Purchase Price</v>
          </cell>
          <cell r="K59">
            <v>22.1</v>
          </cell>
          <cell r="L59">
            <v>0.77366156374435679</v>
          </cell>
        </row>
        <row r="60">
          <cell r="A60" t="str">
            <v>AMCP Investment</v>
          </cell>
          <cell r="E60">
            <v>28.565462</v>
          </cell>
          <cell r="F60">
            <v>1</v>
          </cell>
          <cell r="H60" t="str">
            <v>Cash Prefunded to B/S</v>
          </cell>
          <cell r="K60">
            <v>3</v>
          </cell>
          <cell r="L60">
            <v>0.10502193173000318</v>
          </cell>
        </row>
        <row r="61">
          <cell r="H61" t="str">
            <v>Estimated Fees &amp; Expenses</v>
          </cell>
          <cell r="K61">
            <v>3.4654619999999996</v>
          </cell>
          <cell r="L61">
            <v>0.12131650452564008</v>
          </cell>
        </row>
        <row r="62">
          <cell r="A62" t="str">
            <v>Total Sources</v>
          </cell>
          <cell r="E62">
            <v>28.565462</v>
          </cell>
          <cell r="F62">
            <v>1</v>
          </cell>
          <cell r="H62" t="str">
            <v>Total Uses</v>
          </cell>
          <cell r="K62">
            <v>28.565462</v>
          </cell>
          <cell r="L62">
            <v>1</v>
          </cell>
        </row>
        <row r="64">
          <cell r="A64" t="str">
            <v>Ownership</v>
          </cell>
        </row>
        <row r="65">
          <cell r="A65" t="str">
            <v>(Shares in mm)</v>
          </cell>
          <cell r="E65" t="str">
            <v>At Investment</v>
          </cell>
          <cell r="G65" t="str">
            <v>Fully Diluted</v>
          </cell>
          <cell r="J65" t="str">
            <v>Management Options</v>
          </cell>
        </row>
        <row r="66">
          <cell r="E66" t="str">
            <v>Shares</v>
          </cell>
          <cell r="F66" t="str">
            <v>% Ownership</v>
          </cell>
          <cell r="G66" t="str">
            <v>Shares</v>
          </cell>
          <cell r="H66" t="str">
            <v>% Ownership</v>
          </cell>
          <cell r="J66" t="str">
            <v>60% Time Vested</v>
          </cell>
        </row>
        <row r="67">
          <cell r="A67" t="str">
            <v>AMCP Investment</v>
          </cell>
          <cell r="E67">
            <v>28.565462</v>
          </cell>
          <cell r="F67">
            <v>1</v>
          </cell>
          <cell r="G67">
            <v>28.565462</v>
          </cell>
          <cell r="H67">
            <v>0.9</v>
          </cell>
          <cell r="J67" t="str">
            <v>40% Performance Vested</v>
          </cell>
        </row>
        <row r="68">
          <cell r="A68" t="str">
            <v>Management Options</v>
          </cell>
          <cell r="E68">
            <v>0</v>
          </cell>
          <cell r="F68">
            <v>0</v>
          </cell>
          <cell r="G68">
            <v>3.1739402222222211</v>
          </cell>
          <cell r="H68">
            <v>0.1</v>
          </cell>
        </row>
        <row r="69">
          <cell r="A69" t="str">
            <v>Total Existing Ownership</v>
          </cell>
          <cell r="E69">
            <v>28.565462</v>
          </cell>
          <cell r="F69">
            <v>1</v>
          </cell>
          <cell r="G69">
            <v>31.739402222222221</v>
          </cell>
          <cell r="H69">
            <v>1</v>
          </cell>
        </row>
        <row r="71">
          <cell r="A71" t="str">
            <v>Estimated Potential Proceeds to Seller</v>
          </cell>
        </row>
        <row r="73">
          <cell r="A73" t="str">
            <v>($ in mm)</v>
          </cell>
        </row>
        <row r="74">
          <cell r="A74" t="str">
            <v>Exit EBITDA Multiple (2022 Exit)</v>
          </cell>
          <cell r="I74">
            <v>7</v>
          </cell>
          <cell r="K74">
            <v>8</v>
          </cell>
          <cell r="M74">
            <v>9</v>
          </cell>
        </row>
        <row r="75">
          <cell r="A75" t="str">
            <v>Exit EBITDA</v>
          </cell>
          <cell r="I75">
            <v>26.513513248347572</v>
          </cell>
          <cell r="K75">
            <v>26.513513248347572</v>
          </cell>
          <cell r="M75">
            <v>26.513513248347572</v>
          </cell>
        </row>
        <row r="76">
          <cell r="A76" t="str">
            <v>Enterprise Value</v>
          </cell>
          <cell r="I76">
            <v>185.59459273843299</v>
          </cell>
          <cell r="K76">
            <v>212.10810598678057</v>
          </cell>
          <cell r="M76">
            <v>238.62161923512815</v>
          </cell>
        </row>
        <row r="77">
          <cell r="A77" t="str">
            <v xml:space="preserve">Less: Estimated Net Debt, Seller Earnout, Transaction Fees and Other </v>
          </cell>
          <cell r="I77">
            <v>-24.071425982085653</v>
          </cell>
          <cell r="K77">
            <v>-24.071425982085653</v>
          </cell>
          <cell r="M77">
            <v>-24.071425982085653</v>
          </cell>
        </row>
        <row r="78">
          <cell r="A78" t="str">
            <v>Common Equity Value</v>
          </cell>
          <cell r="I78">
            <v>209.66601872051865</v>
          </cell>
          <cell r="K78">
            <v>236.17953196886623</v>
          </cell>
          <cell r="M78">
            <v>262.69304521721381</v>
          </cell>
        </row>
        <row r="80">
          <cell r="A80" t="str">
            <v xml:space="preserve">Distribution to Management Option Pool Exit </v>
          </cell>
          <cell r="I80">
            <v>17.410055672051865</v>
          </cell>
          <cell r="K80">
            <v>20.061406996886625</v>
          </cell>
          <cell r="M80">
            <v>22.712758321721381</v>
          </cell>
        </row>
        <row r="81">
          <cell r="A81" t="str">
            <v>Total Overall Potential Proceeds to Bob Pagorek</v>
          </cell>
          <cell r="I81">
            <v>4.3525139180129662</v>
          </cell>
          <cell r="K81">
            <v>5.0153517492216562</v>
          </cell>
          <cell r="M81">
            <v>5.6781895804303453</v>
          </cell>
          <cell r="R81">
            <v>0.25</v>
          </cell>
        </row>
      </sheetData>
      <sheetData sheetId="5">
        <row r="4">
          <cell r="D4" t="str">
            <v>2017E EBITDA</v>
          </cell>
        </row>
        <row r="5">
          <cell r="D5">
            <v>8.4187714350178737</v>
          </cell>
        </row>
        <row r="7">
          <cell r="C7" t="str">
            <v>Sources and Uses</v>
          </cell>
        </row>
        <row r="8">
          <cell r="G8" t="str">
            <v>Mult. of</v>
          </cell>
          <cell r="I8" t="str">
            <v>%</v>
          </cell>
          <cell r="K8" t="str">
            <v>%</v>
          </cell>
        </row>
        <row r="9">
          <cell r="C9" t="str">
            <v>Sources</v>
          </cell>
          <cell r="E9" t="str">
            <v>$</v>
          </cell>
          <cell r="G9" t="str">
            <v>EBITDA</v>
          </cell>
          <cell r="I9" t="str">
            <v>of Total</v>
          </cell>
          <cell r="K9" t="str">
            <v>Ownership</v>
          </cell>
        </row>
        <row r="10">
          <cell r="C10" t="str">
            <v>Revolver</v>
          </cell>
          <cell r="E10">
            <v>0</v>
          </cell>
          <cell r="G10">
            <v>0</v>
          </cell>
          <cell r="I10">
            <v>0</v>
          </cell>
          <cell r="K10" t="str">
            <v>-</v>
          </cell>
        </row>
        <row r="11">
          <cell r="C11" t="str">
            <v>AMCP Equity</v>
          </cell>
          <cell r="E11">
            <v>28.565462</v>
          </cell>
          <cell r="G11">
            <v>3.3930677677246326</v>
          </cell>
          <cell r="I11">
            <v>1</v>
          </cell>
          <cell r="K11">
            <v>1</v>
          </cell>
        </row>
        <row r="13">
          <cell r="C13" t="str">
            <v>Total</v>
          </cell>
          <cell r="E13">
            <v>28.565462</v>
          </cell>
          <cell r="G13">
            <v>3.3930677677246326</v>
          </cell>
          <cell r="I13">
            <v>1</v>
          </cell>
          <cell r="K13">
            <v>1</v>
          </cell>
        </row>
        <row r="15">
          <cell r="G15" t="str">
            <v>Mult. of</v>
          </cell>
          <cell r="I15" t="str">
            <v>%</v>
          </cell>
        </row>
        <row r="16">
          <cell r="C16" t="str">
            <v>Uses</v>
          </cell>
          <cell r="E16" t="str">
            <v>$</v>
          </cell>
          <cell r="G16" t="str">
            <v>EBITDA</v>
          </cell>
          <cell r="I16" t="str">
            <v>of Total</v>
          </cell>
        </row>
        <row r="17">
          <cell r="C17" t="str">
            <v>Paramedics Plus Purchase Price</v>
          </cell>
          <cell r="E17">
            <v>22.1</v>
          </cell>
          <cell r="G17">
            <v>2.6250861150684135</v>
          </cell>
          <cell r="I17">
            <v>0.77366156374435679</v>
          </cell>
        </row>
        <row r="18">
          <cell r="C18" t="str">
            <v>Cash Prefunded to B/S</v>
          </cell>
          <cell r="E18">
            <v>3</v>
          </cell>
          <cell r="G18">
            <v>0.35634653145725065</v>
          </cell>
          <cell r="I18">
            <v>0.10502193173000318</v>
          </cell>
        </row>
        <row r="19">
          <cell r="C19" t="str">
            <v>Fees &amp; Expenses</v>
          </cell>
          <cell r="E19">
            <v>3.4654619999999996</v>
          </cell>
          <cell r="G19">
            <v>0.41163512119896889</v>
          </cell>
          <cell r="I19">
            <v>0.12131650452564008</v>
          </cell>
        </row>
        <row r="20">
          <cell r="C20" t="str">
            <v>Total</v>
          </cell>
          <cell r="E20">
            <v>28.565462</v>
          </cell>
          <cell r="G20">
            <v>3.393067767724633</v>
          </cell>
          <cell r="I20">
            <v>1</v>
          </cell>
        </row>
        <row r="22">
          <cell r="C22" t="str">
            <v>2017E Pro Forma EBITDA: $8.4mm.</v>
          </cell>
        </row>
      </sheetData>
      <sheetData sheetId="6"/>
      <sheetData sheetId="7">
        <row r="1">
          <cell r="C1" t="str">
            <v>RUNNING UPSIDE CASE</v>
          </cell>
          <cell r="H1" t="str">
            <v>ONLY USE WITH BASE / DOWNSIDE CASES</v>
          </cell>
        </row>
        <row r="4">
          <cell r="B4" t="str">
            <v>($ millions)</v>
          </cell>
          <cell r="F4">
            <v>42735</v>
          </cell>
          <cell r="G4">
            <v>43100</v>
          </cell>
          <cell r="H4">
            <v>43465</v>
          </cell>
          <cell r="I4">
            <v>43830</v>
          </cell>
          <cell r="J4">
            <v>44196</v>
          </cell>
          <cell r="K4">
            <v>44561</v>
          </cell>
          <cell r="L4">
            <v>44926</v>
          </cell>
          <cell r="N4" t="str">
            <v>CAGR: '17 - '22</v>
          </cell>
          <cell r="P4">
            <v>1</v>
          </cell>
        </row>
        <row r="5">
          <cell r="P5">
            <v>1</v>
          </cell>
        </row>
        <row r="6">
          <cell r="P6">
            <v>1</v>
          </cell>
        </row>
        <row r="7">
          <cell r="B7" t="str">
            <v>Florida</v>
          </cell>
          <cell r="F7">
            <v>46.500388950000001</v>
          </cell>
          <cell r="G7">
            <v>49.190912970000007</v>
          </cell>
          <cell r="H7">
            <v>50.763240026861247</v>
          </cell>
          <cell r="I7">
            <v>52.383681345746155</v>
          </cell>
          <cell r="J7">
            <v>54.057090840242097</v>
          </cell>
          <cell r="K7">
            <v>55.785199907589387</v>
          </cell>
          <cell r="L7">
            <v>57.569796540075593</v>
          </cell>
          <cell r="N7">
            <v>3.1957857808236234E-2</v>
          </cell>
          <cell r="P7">
            <v>1</v>
          </cell>
        </row>
        <row r="8">
          <cell r="B8" t="str">
            <v>Indiana</v>
          </cell>
          <cell r="F8">
            <v>9.7666342400000019</v>
          </cell>
          <cell r="G8">
            <v>10.329119669999999</v>
          </cell>
          <cell r="H8">
            <v>10.6174550446755</v>
          </cell>
          <cell r="I8">
            <v>10.91029203541528</v>
          </cell>
          <cell r="J8">
            <v>11.211225968949012</v>
          </cell>
          <cell r="K8">
            <v>11.520480725744951</v>
          </cell>
          <cell r="L8">
            <v>11.8382863765663</v>
          </cell>
          <cell r="N8">
            <v>2.7649715919389584E-2</v>
          </cell>
          <cell r="P8">
            <v>1</v>
          </cell>
        </row>
        <row r="9">
          <cell r="B9" t="str">
            <v>South Dakota</v>
          </cell>
          <cell r="F9">
            <v>3.9499227299999995</v>
          </cell>
          <cell r="G9">
            <v>4.7793874562566199</v>
          </cell>
          <cell r="H9">
            <v>4.9173105091441158</v>
          </cell>
          <cell r="I9">
            <v>5.0439137139079513</v>
          </cell>
          <cell r="J9">
            <v>5.1740174972835069</v>
          </cell>
          <cell r="K9">
            <v>5.307718650269396</v>
          </cell>
          <cell r="L9">
            <v>5.4451166401353461</v>
          </cell>
          <cell r="N9">
            <v>2.6424452219762973E-2</v>
          </cell>
          <cell r="P9">
            <v>1</v>
          </cell>
        </row>
        <row r="10">
          <cell r="B10" t="str">
            <v>Wylie</v>
          </cell>
          <cell r="F10">
            <v>1.05458593</v>
          </cell>
          <cell r="G10">
            <v>1.5983455762125887</v>
          </cell>
          <cell r="H10">
            <v>1.6368715813948669</v>
          </cell>
          <cell r="I10">
            <v>1.6764628306204352</v>
          </cell>
          <cell r="J10">
            <v>1.71714877788709</v>
          </cell>
          <cell r="K10">
            <v>1.7589596915956682</v>
          </cell>
          <cell r="L10">
            <v>1.8019266770682887</v>
          </cell>
          <cell r="N10">
            <v>2.4267248918061091E-2</v>
          </cell>
          <cell r="P10">
            <v>1</v>
          </cell>
        </row>
        <row r="11">
          <cell r="B11" t="str">
            <v xml:space="preserve">Fleet Plus </v>
          </cell>
          <cell r="F11">
            <v>1.1625254388136605</v>
          </cell>
          <cell r="G11">
            <v>1.1144568200000002</v>
          </cell>
          <cell r="H11">
            <v>1.1144568200000002</v>
          </cell>
          <cell r="I11">
            <v>1.1144568200000002</v>
          </cell>
          <cell r="J11">
            <v>1.1144568200000002</v>
          </cell>
          <cell r="K11">
            <v>1.1144568200000002</v>
          </cell>
          <cell r="L11">
            <v>1.1144568200000002</v>
          </cell>
          <cell r="N11">
            <v>0</v>
          </cell>
          <cell r="P11">
            <v>1</v>
          </cell>
        </row>
        <row r="12">
          <cell r="B12" t="str">
            <v xml:space="preserve">Corporate </v>
          </cell>
          <cell r="F12">
            <v>2.5363960000000001E-2</v>
          </cell>
          <cell r="G12">
            <v>0.19630052000000001</v>
          </cell>
          <cell r="H12">
            <v>0.19630052000000001</v>
          </cell>
          <cell r="I12">
            <v>0.19630052000000001</v>
          </cell>
          <cell r="J12">
            <v>0.19630052000000001</v>
          </cell>
          <cell r="K12">
            <v>0.19630052000000001</v>
          </cell>
          <cell r="L12">
            <v>0.19630052000000001</v>
          </cell>
          <cell r="N12">
            <v>0</v>
          </cell>
          <cell r="P12">
            <v>1</v>
          </cell>
        </row>
        <row r="13">
          <cell r="B13" t="str">
            <v xml:space="preserve">Total Pro Forma Sales </v>
          </cell>
          <cell r="F13">
            <v>62.459421248813662</v>
          </cell>
          <cell r="G13">
            <v>67.208523012469215</v>
          </cell>
          <cell r="H13">
            <v>69.245634502075731</v>
          </cell>
          <cell r="I13">
            <v>71.325107265689823</v>
          </cell>
          <cell r="J13">
            <v>73.470240424361691</v>
          </cell>
          <cell r="K13">
            <v>75.683116315199385</v>
          </cell>
          <cell r="L13">
            <v>77.965883573845531</v>
          </cell>
          <cell r="N13">
            <v>3.013952494549943E-2</v>
          </cell>
          <cell r="P13">
            <v>1</v>
          </cell>
        </row>
        <row r="14">
          <cell r="P14">
            <v>1</v>
          </cell>
        </row>
        <row r="15">
          <cell r="B15" t="str">
            <v>California</v>
          </cell>
          <cell r="F15">
            <v>56.092201789999997</v>
          </cell>
          <cell r="G15">
            <v>61.427868629062267</v>
          </cell>
          <cell r="H15">
            <v>62.251414161151899</v>
          </cell>
          <cell r="I15">
            <v>63.165071390097644</v>
          </cell>
          <cell r="J15">
            <v>64.092462029265988</v>
          </cell>
          <cell r="K15">
            <v>65.033792508979317</v>
          </cell>
          <cell r="L15">
            <v>65.989272362465854</v>
          </cell>
          <cell r="N15">
            <v>1.4428818844669511E-2</v>
          </cell>
          <cell r="P15">
            <v>1</v>
          </cell>
        </row>
        <row r="16">
          <cell r="B16" t="str">
            <v>ETX Mgmt Agreement</v>
          </cell>
          <cell r="F16">
            <v>0.72396117787500014</v>
          </cell>
          <cell r="G16">
            <v>0.74270238283992851</v>
          </cell>
          <cell r="H16">
            <v>0.75755643049672705</v>
          </cell>
          <cell r="I16">
            <v>0.77270755910666167</v>
          </cell>
          <cell r="J16">
            <v>0.78816171028879489</v>
          </cell>
          <cell r="K16">
            <v>0.80392494449457086</v>
          </cell>
          <cell r="L16">
            <v>0.82000344338446218</v>
          </cell>
          <cell r="N16">
            <v>2.0000000000000018E-2</v>
          </cell>
          <cell r="P16">
            <v>1</v>
          </cell>
        </row>
        <row r="17">
          <cell r="B17" t="str">
            <v>Waco</v>
          </cell>
          <cell r="F17">
            <v>7.3208631200000021</v>
          </cell>
          <cell r="G17">
            <v>7.8023961096975523</v>
          </cell>
          <cell r="H17">
            <v>6.038225121334813</v>
          </cell>
          <cell r="I17">
            <v>0</v>
          </cell>
          <cell r="J17">
            <v>0</v>
          </cell>
          <cell r="K17">
            <v>0</v>
          </cell>
          <cell r="L17">
            <v>0</v>
          </cell>
          <cell r="N17">
            <v>-1</v>
          </cell>
          <cell r="P17">
            <v>1</v>
          </cell>
        </row>
        <row r="18">
          <cell r="P18">
            <v>1</v>
          </cell>
        </row>
        <row r="19">
          <cell r="B19" t="str">
            <v>Total Sales</v>
          </cell>
          <cell r="F19">
            <v>126.59644733668866</v>
          </cell>
          <cell r="G19">
            <v>137.18149013406895</v>
          </cell>
          <cell r="H19">
            <v>138.29283021505918</v>
          </cell>
          <cell r="I19">
            <v>135.26288621489414</v>
          </cell>
          <cell r="J19">
            <v>138.35086416391647</v>
          </cell>
          <cell r="K19">
            <v>141.52083376867327</v>
          </cell>
          <cell r="L19">
            <v>144.77515937969582</v>
          </cell>
          <cell r="N19">
            <v>1.0833687836465211E-2</v>
          </cell>
          <cell r="P19">
            <v>1</v>
          </cell>
        </row>
        <row r="20">
          <cell r="P20">
            <v>1</v>
          </cell>
        </row>
        <row r="21">
          <cell r="B21" t="str">
            <v>Florida</v>
          </cell>
          <cell r="F21">
            <v>9.5729633452596747</v>
          </cell>
          <cell r="G21">
            <v>8.8419483298922863</v>
          </cell>
          <cell r="H21">
            <v>9.2247950253973539</v>
          </cell>
          <cell r="I21">
            <v>9.6622215862677763</v>
          </cell>
          <cell r="J21">
            <v>10.117536550928387</v>
          </cell>
          <cell r="K21">
            <v>10.591426429178886</v>
          </cell>
          <cell r="L21">
            <v>11.084603132565491</v>
          </cell>
          <cell r="N21">
            <v>4.6247504579767673E-2</v>
          </cell>
          <cell r="P21">
            <v>1</v>
          </cell>
        </row>
        <row r="22">
          <cell r="B22" t="str">
            <v>Indiana</v>
          </cell>
          <cell r="F22">
            <v>1.1817537013243327</v>
          </cell>
          <cell r="G22">
            <v>1.2289897787014161</v>
          </cell>
          <cell r="H22">
            <v>1.3300815777271109</v>
          </cell>
          <cell r="I22">
            <v>1.4044657497093813</v>
          </cell>
          <cell r="J22">
            <v>1.4815539313243844</v>
          </cell>
          <cell r="K22">
            <v>1.5614361926755465</v>
          </cell>
          <cell r="L22">
            <v>1.6442054656996352</v>
          </cell>
          <cell r="N22">
            <v>5.9940686932544729E-2</v>
          </cell>
          <cell r="P22">
            <v>1</v>
          </cell>
        </row>
        <row r="23">
          <cell r="B23" t="str">
            <v>South Dakota</v>
          </cell>
          <cell r="F23">
            <v>0.73233729256564495</v>
          </cell>
          <cell r="G23">
            <v>1.2169548954015008</v>
          </cell>
          <cell r="H23">
            <v>1.2816064004042331</v>
          </cell>
          <cell r="I23">
            <v>1.329321727998531</v>
          </cell>
          <cell r="J23">
            <v>1.3786640809520185</v>
          </cell>
          <cell r="K23">
            <v>1.4296847279079465</v>
          </cell>
          <cell r="L23">
            <v>1.4824364960961953</v>
          </cell>
          <cell r="N23">
            <v>4.0256224808532748E-2</v>
          </cell>
          <cell r="P23">
            <v>1</v>
          </cell>
        </row>
        <row r="24">
          <cell r="B24" t="str">
            <v>Wylie</v>
          </cell>
          <cell r="F24">
            <v>0.11052414643694385</v>
          </cell>
          <cell r="G24">
            <v>0.61403432861635554</v>
          </cell>
          <cell r="H24">
            <v>0.61459692878493111</v>
          </cell>
          <cell r="I24">
            <v>0.63030127657562984</v>
          </cell>
          <cell r="J24">
            <v>0.64651833819175231</v>
          </cell>
          <cell r="K24">
            <v>0.66326402877566371</v>
          </cell>
          <cell r="L24">
            <v>0.68055474444605923</v>
          </cell>
          <cell r="N24">
            <v>2.0784537409633375E-2</v>
          </cell>
          <cell r="P24">
            <v>1</v>
          </cell>
        </row>
        <row r="25">
          <cell r="B25" t="str">
            <v>Fleet Plus</v>
          </cell>
          <cell r="E25" t="str">
            <v>ghfc</v>
          </cell>
          <cell r="F25">
            <v>-0.5074470111863395</v>
          </cell>
          <cell r="G25">
            <v>-0.38999019999999973</v>
          </cell>
          <cell r="H25">
            <v>-0.38999019999999973</v>
          </cell>
          <cell r="I25">
            <v>-0.38999019999999973</v>
          </cell>
          <cell r="J25">
            <v>-0.38999019999999973</v>
          </cell>
          <cell r="K25">
            <v>-0.38999019999999973</v>
          </cell>
          <cell r="L25">
            <v>-0.38999019999999973</v>
          </cell>
          <cell r="N25">
            <v>0</v>
          </cell>
          <cell r="P25">
            <v>1</v>
          </cell>
        </row>
        <row r="26">
          <cell r="B26" t="str">
            <v xml:space="preserve">Corporate </v>
          </cell>
          <cell r="F26">
            <v>-6.6833870981422248</v>
          </cell>
          <cell r="G26">
            <v>-6.5324565881422254</v>
          </cell>
          <cell r="H26">
            <v>-6.5324565881422254</v>
          </cell>
          <cell r="I26">
            <v>-6.5324565881422254</v>
          </cell>
          <cell r="J26">
            <v>-6.6038879781422253</v>
          </cell>
          <cell r="K26">
            <v>-6.5324565881422254</v>
          </cell>
          <cell r="L26">
            <v>-6.5324565881422254</v>
          </cell>
          <cell r="N26">
            <v>0</v>
          </cell>
          <cell r="P26">
            <v>1</v>
          </cell>
        </row>
        <row r="27">
          <cell r="B27" t="str">
            <v xml:space="preserve">Total Pro Forma EBITDA </v>
          </cell>
          <cell r="F27">
            <v>4.4067443762580325</v>
          </cell>
          <cell r="G27">
            <v>4.9794805444693351</v>
          </cell>
          <cell r="H27">
            <v>5.5286331441714021</v>
          </cell>
          <cell r="I27">
            <v>6.1038635524090923</v>
          </cell>
          <cell r="J27">
            <v>6.6303947232543177</v>
          </cell>
          <cell r="K27">
            <v>7.32336459039582</v>
          </cell>
          <cell r="L27">
            <v>7.9693530506651546</v>
          </cell>
          <cell r="N27">
            <v>9.8620770229739474E-2</v>
          </cell>
          <cell r="P27">
            <v>1</v>
          </cell>
        </row>
        <row r="28">
          <cell r="B28" t="str">
            <v xml:space="preserve">% Margin </v>
          </cell>
          <cell r="F28">
            <v>7.055371772823997E-2</v>
          </cell>
          <cell r="G28">
            <v>7.4090015987190949E-2</v>
          </cell>
          <cell r="H28">
            <v>7.9840890821870861E-2</v>
          </cell>
          <cell r="I28">
            <v>8.5578049391105374E-2</v>
          </cell>
          <cell r="J28">
            <v>9.024599191396919E-2</v>
          </cell>
          <cell r="K28">
            <v>9.6763518033480794E-2</v>
          </cell>
          <cell r="L28">
            <v>0.10221590117832714</v>
          </cell>
          <cell r="P28">
            <v>1</v>
          </cell>
        </row>
        <row r="29">
          <cell r="P29">
            <v>1</v>
          </cell>
        </row>
        <row r="30">
          <cell r="B30" t="str">
            <v>California</v>
          </cell>
          <cell r="F30">
            <v>3.1239072695266805</v>
          </cell>
          <cell r="G30">
            <v>4.5704030117906438</v>
          </cell>
          <cell r="H30">
            <v>4.9519365511576323</v>
          </cell>
          <cell r="I30">
            <v>5.0854264445740842</v>
          </cell>
          <cell r="J30">
            <v>5.2212614102119765</v>
          </cell>
          <cell r="K30">
            <v>5.3594788133897309</v>
          </cell>
          <cell r="L30">
            <v>5.5001165942979569</v>
          </cell>
          <cell r="N30">
            <v>3.7727867896137912E-2</v>
          </cell>
          <cell r="P30">
            <v>1</v>
          </cell>
        </row>
        <row r="31">
          <cell r="B31" t="str">
            <v>ETX Mgmt Agreement</v>
          </cell>
          <cell r="F31">
            <v>1.7239611778750001</v>
          </cell>
          <cell r="G31">
            <v>1.7427023828399288</v>
          </cell>
          <cell r="H31">
            <v>1.7575564304967273</v>
          </cell>
          <cell r="I31">
            <v>1.7727075591066619</v>
          </cell>
          <cell r="J31">
            <v>1.788161710288795</v>
          </cell>
          <cell r="K31">
            <v>1.8039249444945709</v>
          </cell>
          <cell r="L31">
            <v>1.8200034433844623</v>
          </cell>
          <cell r="N31">
            <v>8.7180610669466141E-3</v>
          </cell>
          <cell r="P31">
            <v>1</v>
          </cell>
        </row>
        <row r="32">
          <cell r="B32" t="str">
            <v>Waco</v>
          </cell>
          <cell r="F32">
            <v>1.1135204999899571</v>
          </cell>
          <cell r="G32">
            <v>1.1578812525274307</v>
          </cell>
          <cell r="H32">
            <v>0.94986981873730958</v>
          </cell>
          <cell r="I32">
            <v>0</v>
          </cell>
          <cell r="J32">
            <v>0</v>
          </cell>
          <cell r="K32">
            <v>0</v>
          </cell>
          <cell r="L32">
            <v>0</v>
          </cell>
          <cell r="N32">
            <v>-1</v>
          </cell>
          <cell r="P32">
            <v>1</v>
          </cell>
        </row>
        <row r="33">
          <cell r="P33">
            <v>1</v>
          </cell>
        </row>
        <row r="34">
          <cell r="B34" t="str">
            <v xml:space="preserve">Total Adj. EBITDA </v>
          </cell>
          <cell r="F34">
            <v>10.368133323649669</v>
          </cell>
          <cell r="G34">
            <v>12.450467191627336</v>
          </cell>
          <cell r="H34">
            <v>13.18799594456307</v>
          </cell>
          <cell r="I34">
            <v>12.961997556089839</v>
          </cell>
          <cell r="J34">
            <v>13.63981784375509</v>
          </cell>
          <cell r="K34">
            <v>14.486768348280123</v>
          </cell>
          <cell r="L34">
            <v>15.289473088347574</v>
          </cell>
          <cell r="N34">
            <v>4.1936792917339538E-2</v>
          </cell>
          <cell r="P34">
            <v>1</v>
          </cell>
        </row>
        <row r="35">
          <cell r="B35" t="str">
            <v xml:space="preserve">% Margin </v>
          </cell>
          <cell r="F35">
            <v>8.1899085967832699E-2</v>
          </cell>
          <cell r="G35">
            <v>9.0759089870356122E-2</v>
          </cell>
          <cell r="H35">
            <v>9.5362832072020051E-2</v>
          </cell>
          <cell r="I35">
            <v>9.5828189969988681E-2</v>
          </cell>
          <cell r="J35">
            <v>9.8588598822156939E-2</v>
          </cell>
          <cell r="K35">
            <v>0.10236491661686974</v>
          </cell>
          <cell r="L35">
            <v>0.10560840101200307</v>
          </cell>
          <cell r="P35">
            <v>1</v>
          </cell>
        </row>
        <row r="36">
          <cell r="P36">
            <v>1</v>
          </cell>
        </row>
        <row r="37">
          <cell r="B37" t="str">
            <v xml:space="preserve">Total CapEx  </v>
          </cell>
          <cell r="F37">
            <v>4.2986517900000001</v>
          </cell>
          <cell r="G37">
            <v>4.2500464640000004</v>
          </cell>
          <cell r="H37">
            <v>3.9350000000000001</v>
          </cell>
          <cell r="I37">
            <v>10.424999999999999</v>
          </cell>
          <cell r="J37">
            <v>1.7060000000000002</v>
          </cell>
          <cell r="K37">
            <v>2.25</v>
          </cell>
          <cell r="L37">
            <v>4.5790000000000006</v>
          </cell>
          <cell r="P37">
            <v>1</v>
          </cell>
        </row>
        <row r="38">
          <cell r="P38">
            <v>1</v>
          </cell>
        </row>
        <row r="39">
          <cell r="P39">
            <v>1</v>
          </cell>
        </row>
        <row r="40">
          <cell r="P40">
            <v>1</v>
          </cell>
        </row>
        <row r="41">
          <cell r="B41">
            <v>1</v>
          </cell>
          <cell r="C41">
            <v>1</v>
          </cell>
          <cell r="D41">
            <v>1</v>
          </cell>
          <cell r="E41">
            <v>1</v>
          </cell>
          <cell r="F41">
            <v>1</v>
          </cell>
          <cell r="G41">
            <v>1</v>
          </cell>
          <cell r="H41">
            <v>1</v>
          </cell>
          <cell r="I41">
            <v>1</v>
          </cell>
          <cell r="J41">
            <v>1</v>
          </cell>
          <cell r="K41">
            <v>1</v>
          </cell>
          <cell r="L41">
            <v>1</v>
          </cell>
          <cell r="M41">
            <v>1</v>
          </cell>
          <cell r="N41">
            <v>1</v>
          </cell>
          <cell r="O41">
            <v>1</v>
          </cell>
          <cell r="P41">
            <v>1</v>
          </cell>
        </row>
      </sheetData>
      <sheetData sheetId="8">
        <row r="4">
          <cell r="B4" t="str">
            <v>($ millions)</v>
          </cell>
          <cell r="G4">
            <v>1</v>
          </cell>
          <cell r="I4">
            <v>2</v>
          </cell>
          <cell r="K4">
            <v>3</v>
          </cell>
          <cell r="M4">
            <v>4</v>
          </cell>
          <cell r="O4">
            <v>5</v>
          </cell>
          <cell r="Q4" t="str">
            <v>CAGR</v>
          </cell>
        </row>
        <row r="5">
          <cell r="E5">
            <v>43100</v>
          </cell>
          <cell r="G5">
            <v>43465</v>
          </cell>
          <cell r="I5">
            <v>43830</v>
          </cell>
          <cell r="K5">
            <v>44196</v>
          </cell>
          <cell r="M5">
            <v>44561</v>
          </cell>
          <cell r="O5">
            <v>44926</v>
          </cell>
          <cell r="Q5" t="str">
            <v>'10-'16</v>
          </cell>
        </row>
        <row r="7">
          <cell r="B7" t="str">
            <v>Number of Acquisitions</v>
          </cell>
          <cell r="E7">
            <v>0</v>
          </cell>
          <cell r="G7">
            <v>1</v>
          </cell>
          <cell r="I7">
            <v>1</v>
          </cell>
          <cell r="K7">
            <v>1</v>
          </cell>
          <cell r="M7">
            <v>2</v>
          </cell>
          <cell r="O7">
            <v>2</v>
          </cell>
        </row>
        <row r="9">
          <cell r="B9" t="str">
            <v>Number of RFPs Won</v>
          </cell>
          <cell r="E9">
            <v>0</v>
          </cell>
          <cell r="G9">
            <v>0</v>
          </cell>
          <cell r="I9">
            <v>1</v>
          </cell>
          <cell r="K9">
            <v>1</v>
          </cell>
          <cell r="M9">
            <v>1</v>
          </cell>
          <cell r="O9">
            <v>0</v>
          </cell>
        </row>
        <row r="11">
          <cell r="B11" t="str">
            <v>Sales:</v>
          </cell>
        </row>
        <row r="12">
          <cell r="B12" t="str">
            <v>Core Business</v>
          </cell>
          <cell r="E12">
            <v>137.18149013406895</v>
          </cell>
          <cell r="G12">
            <v>138.29283021505915</v>
          </cell>
          <cell r="I12">
            <v>135.26288621489411</v>
          </cell>
          <cell r="K12">
            <v>138.35086416391647</v>
          </cell>
          <cell r="M12">
            <v>141.52083376867327</v>
          </cell>
          <cell r="O12">
            <v>144.77515937969582</v>
          </cell>
        </row>
        <row r="13">
          <cell r="B13" t="str">
            <v>Growth %</v>
          </cell>
          <cell r="E13" t="str">
            <v>NA</v>
          </cell>
          <cell r="G13">
            <v>8.1012393137300798E-3</v>
          </cell>
          <cell r="I13">
            <v>-2.1909624638191127E-2</v>
          </cell>
          <cell r="K13">
            <v>2.2829454815243677E-2</v>
          </cell>
          <cell r="M13">
            <v>2.2912539245154795E-2</v>
          </cell>
          <cell r="O13">
            <v>2.2995381841390161E-2</v>
          </cell>
        </row>
        <row r="14">
          <cell r="B14" t="str">
            <v>Acquisitions</v>
          </cell>
          <cell r="E14">
            <v>0</v>
          </cell>
          <cell r="G14">
            <v>10</v>
          </cell>
          <cell r="I14">
            <v>20.2</v>
          </cell>
          <cell r="K14">
            <v>30.603999999999999</v>
          </cell>
          <cell r="M14">
            <v>51.216079999999998</v>
          </cell>
          <cell r="O14">
            <v>72.240401599999998</v>
          </cell>
        </row>
        <row r="15">
          <cell r="B15" t="str">
            <v>Growth %</v>
          </cell>
          <cell r="E15" t="str">
            <v>NA</v>
          </cell>
          <cell r="G15" t="str">
            <v>NA</v>
          </cell>
          <cell r="I15">
            <v>1.02</v>
          </cell>
          <cell r="K15">
            <v>0.51504950495049506</v>
          </cell>
          <cell r="M15">
            <v>0.67350934518363603</v>
          </cell>
          <cell r="O15">
            <v>0.41050235785323674</v>
          </cell>
        </row>
        <row r="16">
          <cell r="B16" t="str">
            <v xml:space="preserve">RFPs </v>
          </cell>
          <cell r="E16">
            <v>0</v>
          </cell>
          <cell r="G16">
            <v>0</v>
          </cell>
          <cell r="I16">
            <v>10</v>
          </cell>
          <cell r="K16">
            <v>20</v>
          </cell>
          <cell r="M16">
            <v>40</v>
          </cell>
          <cell r="O16">
            <v>40</v>
          </cell>
        </row>
        <row r="17">
          <cell r="B17" t="str">
            <v>Growth %</v>
          </cell>
          <cell r="E17" t="str">
            <v>NA</v>
          </cell>
          <cell r="G17" t="str">
            <v>NA</v>
          </cell>
          <cell r="I17" t="str">
            <v>NA</v>
          </cell>
          <cell r="K17">
            <v>1</v>
          </cell>
          <cell r="M17">
            <v>1</v>
          </cell>
          <cell r="O17">
            <v>0</v>
          </cell>
        </row>
        <row r="19">
          <cell r="B19" t="str">
            <v>Net Sales</v>
          </cell>
          <cell r="E19">
            <v>137.18149013406895</v>
          </cell>
          <cell r="G19">
            <v>148.29283021505915</v>
          </cell>
          <cell r="I19">
            <v>165.4628862148941</v>
          </cell>
          <cell r="K19">
            <v>188.95486416391645</v>
          </cell>
          <cell r="M19">
            <v>232.73691376867328</v>
          </cell>
          <cell r="O19">
            <v>257.01556097969581</v>
          </cell>
          <cell r="Q19" t="e">
            <v>#REF!</v>
          </cell>
        </row>
        <row r="20">
          <cell r="B20" t="str">
            <v>% Growth</v>
          </cell>
          <cell r="E20" t="str">
            <v>NA</v>
          </cell>
          <cell r="G20">
            <v>8.0997371220643322E-2</v>
          </cell>
          <cell r="I20">
            <v>0.11578480210361053</v>
          </cell>
          <cell r="K20">
            <v>0.14197732486372971</v>
          </cell>
          <cell r="M20">
            <v>0.2317063908276864</v>
          </cell>
          <cell r="O20">
            <v>0.10431799072129166</v>
          </cell>
        </row>
        <row r="22">
          <cell r="B22" t="str">
            <v>EBITDA:</v>
          </cell>
        </row>
        <row r="23">
          <cell r="B23" t="str">
            <v>Core Business</v>
          </cell>
          <cell r="E23">
            <v>12.45046719162734</v>
          </cell>
          <cell r="G23">
            <v>13.187995944563074</v>
          </cell>
          <cell r="I23">
            <v>12.961997556089841</v>
          </cell>
          <cell r="K23">
            <v>13.71124923375509</v>
          </cell>
          <cell r="M23">
            <v>14.486768348280123</v>
          </cell>
          <cell r="O23">
            <v>15.289473088347574</v>
          </cell>
        </row>
        <row r="24">
          <cell r="B24" t="str">
            <v>Margin %</v>
          </cell>
          <cell r="E24">
            <v>9.0759089870356149E-2</v>
          </cell>
          <cell r="G24">
            <v>9.5362832072020107E-2</v>
          </cell>
          <cell r="I24">
            <v>9.5828189969988722E-2</v>
          </cell>
          <cell r="K24">
            <v>9.9104904885235587E-2</v>
          </cell>
          <cell r="M24">
            <v>0.10236491661686974</v>
          </cell>
          <cell r="O24">
            <v>0.10560840101200307</v>
          </cell>
        </row>
        <row r="25">
          <cell r="B25" t="str">
            <v>Acquisitions</v>
          </cell>
          <cell r="E25">
            <v>0</v>
          </cell>
          <cell r="G25">
            <v>1</v>
          </cell>
          <cell r="I25">
            <v>2.02</v>
          </cell>
          <cell r="K25">
            <v>3.0604</v>
          </cell>
          <cell r="M25">
            <v>5.1216080000000002</v>
          </cell>
          <cell r="O25">
            <v>7.2240401599999995</v>
          </cell>
        </row>
        <row r="26">
          <cell r="B26" t="str">
            <v>Margin %</v>
          </cell>
          <cell r="E26" t="str">
            <v>NA</v>
          </cell>
          <cell r="G26">
            <v>0.1</v>
          </cell>
          <cell r="I26">
            <v>0.1</v>
          </cell>
          <cell r="K26">
            <v>0.1</v>
          </cell>
          <cell r="M26">
            <v>0.1</v>
          </cell>
          <cell r="O26">
            <v>9.9999999999999992E-2</v>
          </cell>
        </row>
        <row r="27">
          <cell r="B27" t="str">
            <v xml:space="preserve">RFPs </v>
          </cell>
          <cell r="E27">
            <v>0</v>
          </cell>
          <cell r="G27">
            <v>0</v>
          </cell>
          <cell r="I27">
            <v>1</v>
          </cell>
          <cell r="K27">
            <v>2</v>
          </cell>
          <cell r="M27">
            <v>4</v>
          </cell>
          <cell r="O27">
            <v>4</v>
          </cell>
        </row>
        <row r="28">
          <cell r="B28" t="str">
            <v>Margin %</v>
          </cell>
          <cell r="E28" t="str">
            <v>NA</v>
          </cell>
          <cell r="G28" t="str">
            <v>NA</v>
          </cell>
          <cell r="I28">
            <v>0.1</v>
          </cell>
          <cell r="K28">
            <v>0.1</v>
          </cell>
          <cell r="M28">
            <v>0.1</v>
          </cell>
          <cell r="O28">
            <v>0.1</v>
          </cell>
        </row>
        <row r="29">
          <cell r="B29" t="str">
            <v>Adjusted EBITDA</v>
          </cell>
          <cell r="E29">
            <v>12.45046719162734</v>
          </cell>
          <cell r="G29">
            <v>14.187995944563074</v>
          </cell>
          <cell r="I29">
            <v>15.981997556089841</v>
          </cell>
          <cell r="K29">
            <v>18.771649233755092</v>
          </cell>
          <cell r="M29">
            <v>23.608376348280125</v>
          </cell>
          <cell r="O29">
            <v>26.513513248347572</v>
          </cell>
          <cell r="Q29" t="e">
            <v>#REF!</v>
          </cell>
        </row>
        <row r="30">
          <cell r="B30" t="str">
            <v xml:space="preserve">%  Margin </v>
          </cell>
          <cell r="E30">
            <v>9.0759089870356149E-2</v>
          </cell>
          <cell r="G30">
            <v>9.567553551973601E-2</v>
          </cell>
          <cell r="I30">
            <v>9.6589621525961428E-2</v>
          </cell>
          <cell r="K30">
            <v>9.9344620297632955E-2</v>
          </cell>
          <cell r="M30">
            <v>0.10143803991379491</v>
          </cell>
          <cell r="O30">
            <v>0.1031591750603853</v>
          </cell>
        </row>
        <row r="32">
          <cell r="B32" t="str">
            <v>Core Business</v>
          </cell>
          <cell r="E32">
            <v>4.2500464640000004</v>
          </cell>
          <cell r="G32">
            <v>3.9350000000000001</v>
          </cell>
          <cell r="I32">
            <v>10.424999999999999</v>
          </cell>
          <cell r="K32">
            <v>1.7060000000000002</v>
          </cell>
          <cell r="M32">
            <v>2.25</v>
          </cell>
          <cell r="O32">
            <v>4.5790000000000006</v>
          </cell>
        </row>
        <row r="33">
          <cell r="B33" t="str">
            <v>Acquisitions</v>
          </cell>
          <cell r="E33">
            <v>0</v>
          </cell>
          <cell r="G33">
            <v>0.3</v>
          </cell>
          <cell r="I33">
            <v>0.60599999999999998</v>
          </cell>
          <cell r="K33">
            <v>0.91812000000000005</v>
          </cell>
          <cell r="M33">
            <v>1.5364823999999999</v>
          </cell>
          <cell r="O33">
            <v>2.1672120480000001</v>
          </cell>
        </row>
        <row r="34">
          <cell r="B34" t="str">
            <v xml:space="preserve">RFPs </v>
          </cell>
          <cell r="E34">
            <v>0</v>
          </cell>
          <cell r="G34">
            <v>0</v>
          </cell>
          <cell r="I34">
            <v>0.5</v>
          </cell>
          <cell r="K34">
            <v>1</v>
          </cell>
          <cell r="M34">
            <v>2</v>
          </cell>
          <cell r="O34">
            <v>2</v>
          </cell>
        </row>
        <row r="35">
          <cell r="B35" t="str">
            <v>Total CapEx</v>
          </cell>
          <cell r="E35">
            <v>4.2500464640000004</v>
          </cell>
          <cell r="G35">
            <v>4.2350000000000003</v>
          </cell>
          <cell r="I35">
            <v>11.530999999999999</v>
          </cell>
          <cell r="K35">
            <v>3.6241200000000005</v>
          </cell>
          <cell r="M35">
            <v>5.7864823999999997</v>
          </cell>
          <cell r="O35">
            <v>8.7462120480000003</v>
          </cell>
          <cell r="Q35" t="e">
            <v>#REF!</v>
          </cell>
        </row>
        <row r="36">
          <cell r="B36" t="str">
            <v>% Total Revenue</v>
          </cell>
          <cell r="E36">
            <v>3.0981194765025397E-2</v>
          </cell>
          <cell r="G36">
            <v>2.855835979297356E-2</v>
          </cell>
          <cell r="I36">
            <v>6.9689344020170005E-2</v>
          </cell>
          <cell r="K36">
            <v>1.9179818503407844E-2</v>
          </cell>
          <cell r="M36">
            <v>2.4862761589042211E-2</v>
          </cell>
          <cell r="O36">
            <v>3.4029893033172998E-2</v>
          </cell>
        </row>
      </sheetData>
      <sheetData sheetId="9">
        <row r="2">
          <cell r="D2" t="str">
            <v>Controls (%)</v>
          </cell>
          <cell r="P2" t="str">
            <v>Transports</v>
          </cell>
          <cell r="AB2" t="str">
            <v xml:space="preserve">Revenue / Transport  </v>
          </cell>
          <cell r="AN2" t="str">
            <v xml:space="preserve">Revenue </v>
          </cell>
          <cell r="AZ2" t="str">
            <v>Adj. EBITDA</v>
          </cell>
          <cell r="BL2" t="str">
            <v>CapEx</v>
          </cell>
        </row>
        <row r="4">
          <cell r="D4">
            <v>43100</v>
          </cell>
          <cell r="F4">
            <v>43465</v>
          </cell>
          <cell r="H4">
            <v>43830</v>
          </cell>
          <cell r="J4">
            <v>44196</v>
          </cell>
          <cell r="L4">
            <v>44561</v>
          </cell>
          <cell r="N4">
            <v>44926</v>
          </cell>
          <cell r="P4">
            <v>43100</v>
          </cell>
          <cell r="R4">
            <v>43465</v>
          </cell>
          <cell r="T4">
            <v>43830</v>
          </cell>
          <cell r="V4">
            <v>44196</v>
          </cell>
          <cell r="X4">
            <v>44561</v>
          </cell>
          <cell r="Z4">
            <v>44926</v>
          </cell>
          <cell r="AB4">
            <v>43100</v>
          </cell>
          <cell r="AD4">
            <v>43465</v>
          </cell>
          <cell r="AF4">
            <v>43830</v>
          </cell>
          <cell r="AH4">
            <v>44196</v>
          </cell>
          <cell r="AJ4">
            <v>44561</v>
          </cell>
          <cell r="AL4">
            <v>44926</v>
          </cell>
          <cell r="AN4">
            <v>43100</v>
          </cell>
          <cell r="AP4">
            <v>43465</v>
          </cell>
          <cell r="AR4">
            <v>43830</v>
          </cell>
          <cell r="AT4">
            <v>44196</v>
          </cell>
          <cell r="AV4">
            <v>44561</v>
          </cell>
          <cell r="AX4">
            <v>44926</v>
          </cell>
          <cell r="AZ4">
            <v>43100</v>
          </cell>
          <cell r="BB4">
            <v>43465</v>
          </cell>
          <cell r="BD4">
            <v>43830</v>
          </cell>
          <cell r="BF4">
            <v>44196</v>
          </cell>
          <cell r="BH4">
            <v>44561</v>
          </cell>
          <cell r="BJ4">
            <v>44926</v>
          </cell>
          <cell r="BL4">
            <v>43100</v>
          </cell>
          <cell r="BN4">
            <v>43465</v>
          </cell>
          <cell r="BP4">
            <v>43830</v>
          </cell>
          <cell r="BR4">
            <v>44196</v>
          </cell>
          <cell r="BT4">
            <v>44561</v>
          </cell>
          <cell r="BV4">
            <v>44926</v>
          </cell>
        </row>
        <row r="5">
          <cell r="B5" t="str">
            <v>Florida:</v>
          </cell>
        </row>
        <row r="6">
          <cell r="B6" t="str">
            <v>Base Solid</v>
          </cell>
          <cell r="D6">
            <v>1</v>
          </cell>
          <cell r="F6">
            <v>1</v>
          </cell>
          <cell r="H6">
            <v>1</v>
          </cell>
          <cell r="J6">
            <v>0.75</v>
          </cell>
          <cell r="L6">
            <v>0</v>
          </cell>
          <cell r="N6">
            <v>0</v>
          </cell>
          <cell r="P6">
            <v>184707</v>
          </cell>
          <cell r="Q6">
            <v>0</v>
          </cell>
          <cell r="R6">
            <v>189324.67499999999</v>
          </cell>
          <cell r="S6">
            <v>0</v>
          </cell>
          <cell r="T6">
            <v>194057.79187499997</v>
          </cell>
          <cell r="U6">
            <v>0</v>
          </cell>
          <cell r="V6">
            <v>149181.92750390619</v>
          </cell>
          <cell r="W6">
            <v>0</v>
          </cell>
          <cell r="X6">
            <v>0</v>
          </cell>
          <cell r="Y6">
            <v>0</v>
          </cell>
          <cell r="Z6">
            <v>0</v>
          </cell>
          <cell r="AB6">
            <v>266.31861797333079</v>
          </cell>
          <cell r="AD6">
            <v>268.12796602905172</v>
          </cell>
          <cell r="AF6">
            <v>269.9385623200767</v>
          </cell>
          <cell r="AH6">
            <v>271.76762499680126</v>
          </cell>
          <cell r="AJ6" t="str">
            <v>NA</v>
          </cell>
          <cell r="AL6" t="str">
            <v>NA</v>
          </cell>
          <cell r="AN6">
            <v>49.190912970000007</v>
          </cell>
          <cell r="AO6">
            <v>0</v>
          </cell>
          <cell r="AP6">
            <v>50.763240026861247</v>
          </cell>
          <cell r="AQ6">
            <v>0</v>
          </cell>
          <cell r="AR6">
            <v>52.383681345746155</v>
          </cell>
          <cell r="AS6">
            <v>0</v>
          </cell>
          <cell r="AT6">
            <v>40.542818130181573</v>
          </cell>
          <cell r="AU6">
            <v>0</v>
          </cell>
          <cell r="AV6">
            <v>0</v>
          </cell>
          <cell r="AW6">
            <v>0</v>
          </cell>
          <cell r="AX6">
            <v>0</v>
          </cell>
          <cell r="AZ6">
            <v>8.8419483298922863</v>
          </cell>
          <cell r="BB6">
            <v>9.2247950253973539</v>
          </cell>
          <cell r="BD6">
            <v>9.6622215862677763</v>
          </cell>
          <cell r="BF6">
            <v>7.5881524131962905</v>
          </cell>
          <cell r="BH6">
            <v>0</v>
          </cell>
          <cell r="BJ6">
            <v>0</v>
          </cell>
          <cell r="BL6">
            <v>1.455287</v>
          </cell>
          <cell r="BM6" t="e">
            <v>#REF!</v>
          </cell>
          <cell r="BN6">
            <v>1.548</v>
          </cell>
          <cell r="BO6" t="e">
            <v>#REF!</v>
          </cell>
          <cell r="BP6">
            <v>1.272</v>
          </cell>
          <cell r="BQ6" t="e">
            <v>#REF!</v>
          </cell>
          <cell r="BR6">
            <v>1.06725</v>
          </cell>
          <cell r="BS6" t="e">
            <v>#REF!</v>
          </cell>
          <cell r="BT6">
            <v>0</v>
          </cell>
          <cell r="BU6" t="e">
            <v>#REF!</v>
          </cell>
          <cell r="BV6">
            <v>0</v>
          </cell>
        </row>
        <row r="7">
          <cell r="B7" t="str">
            <v>Base Extension</v>
          </cell>
          <cell r="D7">
            <v>0</v>
          </cell>
          <cell r="F7">
            <v>0</v>
          </cell>
          <cell r="H7">
            <v>0</v>
          </cell>
          <cell r="J7">
            <v>0.25</v>
          </cell>
          <cell r="L7">
            <v>1</v>
          </cell>
          <cell r="N7">
            <v>1</v>
          </cell>
          <cell r="P7">
            <v>0</v>
          </cell>
          <cell r="Q7">
            <v>0</v>
          </cell>
          <cell r="R7">
            <v>0</v>
          </cell>
          <cell r="S7">
            <v>0</v>
          </cell>
          <cell r="T7">
            <v>0</v>
          </cell>
          <cell r="U7">
            <v>0</v>
          </cell>
          <cell r="V7">
            <v>49727.309167968735</v>
          </cell>
          <cell r="W7">
            <v>0</v>
          </cell>
          <cell r="X7">
            <v>203881.9675886718</v>
          </cell>
          <cell r="Y7">
            <v>0</v>
          </cell>
          <cell r="Z7">
            <v>208979.01677838858</v>
          </cell>
          <cell r="AB7" t="str">
            <v>NA</v>
          </cell>
          <cell r="AD7" t="str">
            <v>NA</v>
          </cell>
          <cell r="AF7" t="str">
            <v>NA</v>
          </cell>
          <cell r="AH7">
            <v>271.76762499680126</v>
          </cell>
          <cell r="AJ7">
            <v>273.6151733641056</v>
          </cell>
          <cell r="AL7">
            <v>275.48122977880303</v>
          </cell>
          <cell r="AN7">
            <v>0</v>
          </cell>
          <cell r="AO7">
            <v>0</v>
          </cell>
          <cell r="AP7">
            <v>0</v>
          </cell>
          <cell r="AQ7">
            <v>0</v>
          </cell>
          <cell r="AR7">
            <v>0</v>
          </cell>
          <cell r="AS7">
            <v>0</v>
          </cell>
          <cell r="AT7">
            <v>13.514272710060524</v>
          </cell>
          <cell r="AU7">
            <v>0</v>
          </cell>
          <cell r="AV7">
            <v>55.785199907589387</v>
          </cell>
          <cell r="AW7">
            <v>0</v>
          </cell>
          <cell r="AX7">
            <v>57.569796540075593</v>
          </cell>
          <cell r="AZ7">
            <v>0</v>
          </cell>
          <cell r="BB7">
            <v>0</v>
          </cell>
          <cell r="BD7">
            <v>0</v>
          </cell>
          <cell r="BF7">
            <v>2.5293841377320967</v>
          </cell>
          <cell r="BH7">
            <v>10.591426429178886</v>
          </cell>
          <cell r="BJ7">
            <v>11.084603132565491</v>
          </cell>
        </row>
        <row r="8">
          <cell r="B8" t="str">
            <v>Base Recompete (No RFP Req'd)</v>
          </cell>
          <cell r="D8">
            <v>0</v>
          </cell>
          <cell r="F8">
            <v>0</v>
          </cell>
          <cell r="H8">
            <v>0</v>
          </cell>
          <cell r="J8">
            <v>0</v>
          </cell>
          <cell r="L8">
            <v>0</v>
          </cell>
          <cell r="N8">
            <v>0</v>
          </cell>
          <cell r="P8">
            <v>0</v>
          </cell>
          <cell r="Q8">
            <v>0</v>
          </cell>
          <cell r="R8">
            <v>0</v>
          </cell>
          <cell r="S8">
            <v>0</v>
          </cell>
          <cell r="T8">
            <v>0</v>
          </cell>
          <cell r="U8">
            <v>0</v>
          </cell>
          <cell r="V8">
            <v>0</v>
          </cell>
          <cell r="W8">
            <v>0</v>
          </cell>
          <cell r="X8">
            <v>0</v>
          </cell>
          <cell r="Y8">
            <v>0</v>
          </cell>
          <cell r="Z8">
            <v>0</v>
          </cell>
          <cell r="AB8" t="str">
            <v>NA</v>
          </cell>
          <cell r="AD8" t="str">
            <v>NA</v>
          </cell>
          <cell r="AF8" t="str">
            <v>NA</v>
          </cell>
          <cell r="AH8" t="str">
            <v>NA</v>
          </cell>
          <cell r="AJ8" t="str">
            <v>NA</v>
          </cell>
          <cell r="AL8" t="str">
            <v>NA</v>
          </cell>
          <cell r="AN8">
            <v>0</v>
          </cell>
          <cell r="AO8">
            <v>0</v>
          </cell>
          <cell r="AP8">
            <v>0</v>
          </cell>
          <cell r="AQ8">
            <v>0</v>
          </cell>
          <cell r="AR8">
            <v>0</v>
          </cell>
          <cell r="AS8">
            <v>0</v>
          </cell>
          <cell r="AT8">
            <v>0</v>
          </cell>
          <cell r="AU8">
            <v>0</v>
          </cell>
          <cell r="AV8">
            <v>0</v>
          </cell>
          <cell r="AW8">
            <v>0</v>
          </cell>
          <cell r="AX8">
            <v>0</v>
          </cell>
          <cell r="AZ8">
            <v>0</v>
          </cell>
          <cell r="BB8">
            <v>0</v>
          </cell>
          <cell r="BD8">
            <v>0</v>
          </cell>
          <cell r="BF8">
            <v>0</v>
          </cell>
          <cell r="BH8">
            <v>0</v>
          </cell>
          <cell r="BJ8">
            <v>0</v>
          </cell>
        </row>
        <row r="9">
          <cell r="B9" t="str">
            <v>Base Recompete (Open RFP Req'd)</v>
          </cell>
          <cell r="D9">
            <v>0</v>
          </cell>
          <cell r="F9">
            <v>0</v>
          </cell>
          <cell r="H9">
            <v>0</v>
          </cell>
          <cell r="J9">
            <v>0</v>
          </cell>
          <cell r="L9">
            <v>0</v>
          </cell>
          <cell r="N9">
            <v>0</v>
          </cell>
          <cell r="P9">
            <v>0</v>
          </cell>
          <cell r="Q9">
            <v>0</v>
          </cell>
          <cell r="R9">
            <v>0</v>
          </cell>
          <cell r="S9">
            <v>0</v>
          </cell>
          <cell r="T9">
            <v>0</v>
          </cell>
          <cell r="U9">
            <v>0</v>
          </cell>
          <cell r="V9">
            <v>0</v>
          </cell>
          <cell r="W9">
            <v>0</v>
          </cell>
          <cell r="X9">
            <v>0</v>
          </cell>
          <cell r="Y9">
            <v>0</v>
          </cell>
          <cell r="Z9">
            <v>0</v>
          </cell>
          <cell r="AB9" t="str">
            <v>NA</v>
          </cell>
          <cell r="AD9" t="str">
            <v>NA</v>
          </cell>
          <cell r="AF9" t="str">
            <v>NA</v>
          </cell>
          <cell r="AH9" t="str">
            <v>NA</v>
          </cell>
          <cell r="AJ9" t="str">
            <v>NA</v>
          </cell>
          <cell r="AL9" t="str">
            <v>NA</v>
          </cell>
          <cell r="AN9">
            <v>0</v>
          </cell>
          <cell r="AO9">
            <v>0</v>
          </cell>
          <cell r="AP9">
            <v>0</v>
          </cell>
          <cell r="AQ9">
            <v>0</v>
          </cell>
          <cell r="AR9">
            <v>0</v>
          </cell>
          <cell r="AS9">
            <v>0</v>
          </cell>
          <cell r="AT9">
            <v>0</v>
          </cell>
          <cell r="AU9">
            <v>0</v>
          </cell>
          <cell r="AV9">
            <v>0</v>
          </cell>
          <cell r="AW9">
            <v>0</v>
          </cell>
          <cell r="AX9">
            <v>0</v>
          </cell>
          <cell r="AZ9">
            <v>0</v>
          </cell>
          <cell r="BB9">
            <v>0</v>
          </cell>
          <cell r="BD9">
            <v>0</v>
          </cell>
          <cell r="BF9">
            <v>0</v>
          </cell>
          <cell r="BH9">
            <v>0</v>
          </cell>
          <cell r="BJ9">
            <v>0</v>
          </cell>
        </row>
        <row r="10">
          <cell r="B10" t="str">
            <v>Waco / ETX at Risk</v>
          </cell>
          <cell r="D10">
            <v>0</v>
          </cell>
          <cell r="F10">
            <v>0</v>
          </cell>
          <cell r="H10">
            <v>0</v>
          </cell>
          <cell r="J10">
            <v>0</v>
          </cell>
          <cell r="L10">
            <v>0</v>
          </cell>
          <cell r="N10">
            <v>0</v>
          </cell>
          <cell r="P10">
            <v>0</v>
          </cell>
          <cell r="Q10">
            <v>0</v>
          </cell>
          <cell r="R10">
            <v>0</v>
          </cell>
          <cell r="S10">
            <v>0</v>
          </cell>
          <cell r="T10">
            <v>0</v>
          </cell>
          <cell r="U10">
            <v>0</v>
          </cell>
          <cell r="V10">
            <v>0</v>
          </cell>
          <cell r="W10">
            <v>0</v>
          </cell>
          <cell r="X10">
            <v>0</v>
          </cell>
          <cell r="Y10">
            <v>0</v>
          </cell>
          <cell r="Z10">
            <v>0</v>
          </cell>
          <cell r="AB10" t="str">
            <v>NA</v>
          </cell>
          <cell r="AD10" t="str">
            <v>NA</v>
          </cell>
          <cell r="AF10" t="str">
            <v>NA</v>
          </cell>
          <cell r="AH10" t="str">
            <v>NA</v>
          </cell>
          <cell r="AJ10" t="str">
            <v>NA</v>
          </cell>
          <cell r="AL10" t="str">
            <v>NA</v>
          </cell>
          <cell r="AN10">
            <v>0</v>
          </cell>
          <cell r="AO10">
            <v>0</v>
          </cell>
          <cell r="AP10">
            <v>0</v>
          </cell>
          <cell r="AQ10">
            <v>0</v>
          </cell>
          <cell r="AR10">
            <v>0</v>
          </cell>
          <cell r="AS10">
            <v>0</v>
          </cell>
          <cell r="AT10">
            <v>0</v>
          </cell>
          <cell r="AU10">
            <v>0</v>
          </cell>
          <cell r="AV10">
            <v>0</v>
          </cell>
          <cell r="AW10">
            <v>0</v>
          </cell>
          <cell r="AX10">
            <v>0</v>
          </cell>
          <cell r="AZ10">
            <v>0</v>
          </cell>
          <cell r="BB10">
            <v>0</v>
          </cell>
          <cell r="BD10">
            <v>0</v>
          </cell>
          <cell r="BF10">
            <v>0</v>
          </cell>
          <cell r="BH10">
            <v>0</v>
          </cell>
          <cell r="BJ10">
            <v>0</v>
          </cell>
        </row>
        <row r="11">
          <cell r="B11" t="str">
            <v>CA Expected Loss</v>
          </cell>
          <cell r="D11">
            <v>0</v>
          </cell>
          <cell r="F11">
            <v>0</v>
          </cell>
          <cell r="H11">
            <v>0</v>
          </cell>
          <cell r="J11">
            <v>0</v>
          </cell>
          <cell r="L11">
            <v>0</v>
          </cell>
          <cell r="N11">
            <v>0</v>
          </cell>
          <cell r="P11">
            <v>0</v>
          </cell>
          <cell r="Q11">
            <v>0</v>
          </cell>
          <cell r="R11">
            <v>0</v>
          </cell>
          <cell r="S11">
            <v>0</v>
          </cell>
          <cell r="T11">
            <v>0</v>
          </cell>
          <cell r="U11">
            <v>0</v>
          </cell>
          <cell r="V11">
            <v>0</v>
          </cell>
          <cell r="W11">
            <v>0</v>
          </cell>
          <cell r="X11">
            <v>0</v>
          </cell>
          <cell r="Y11">
            <v>0</v>
          </cell>
          <cell r="Z11">
            <v>0</v>
          </cell>
          <cell r="AB11" t="str">
            <v>NA</v>
          </cell>
          <cell r="AD11" t="str">
            <v>NA</v>
          </cell>
          <cell r="AF11" t="str">
            <v>NA</v>
          </cell>
          <cell r="AH11" t="str">
            <v>NA</v>
          </cell>
          <cell r="AJ11" t="str">
            <v>NA</v>
          </cell>
          <cell r="AL11" t="str">
            <v>NA</v>
          </cell>
          <cell r="AN11">
            <v>0</v>
          </cell>
          <cell r="AO11">
            <v>0</v>
          </cell>
          <cell r="AP11">
            <v>0</v>
          </cell>
          <cell r="AQ11">
            <v>0</v>
          </cell>
          <cell r="AR11">
            <v>0</v>
          </cell>
          <cell r="AS11">
            <v>0</v>
          </cell>
          <cell r="AT11">
            <v>0</v>
          </cell>
          <cell r="AU11">
            <v>0</v>
          </cell>
          <cell r="AV11">
            <v>0</v>
          </cell>
          <cell r="AW11">
            <v>0</v>
          </cell>
          <cell r="AX11">
            <v>0</v>
          </cell>
          <cell r="AZ11">
            <v>0</v>
          </cell>
          <cell r="BB11">
            <v>0</v>
          </cell>
          <cell r="BD11">
            <v>0</v>
          </cell>
          <cell r="BF11">
            <v>0</v>
          </cell>
          <cell r="BH11">
            <v>0</v>
          </cell>
          <cell r="BJ11">
            <v>0</v>
          </cell>
        </row>
        <row r="12">
          <cell r="B12" t="str">
            <v>Acquisitions / RPFs</v>
          </cell>
          <cell r="D12">
            <v>0</v>
          </cell>
          <cell r="F12">
            <v>0</v>
          </cell>
          <cell r="H12">
            <v>0</v>
          </cell>
          <cell r="J12">
            <v>0</v>
          </cell>
          <cell r="L12">
            <v>0</v>
          </cell>
          <cell r="N12">
            <v>0</v>
          </cell>
          <cell r="P12">
            <v>0</v>
          </cell>
          <cell r="Q12">
            <v>0</v>
          </cell>
          <cell r="R12">
            <v>0</v>
          </cell>
          <cell r="S12">
            <v>0</v>
          </cell>
          <cell r="T12">
            <v>0</v>
          </cell>
          <cell r="U12">
            <v>0</v>
          </cell>
          <cell r="V12">
            <v>0</v>
          </cell>
          <cell r="W12">
            <v>0</v>
          </cell>
          <cell r="X12">
            <v>0</v>
          </cell>
          <cell r="Y12">
            <v>0</v>
          </cell>
          <cell r="Z12">
            <v>0</v>
          </cell>
          <cell r="AB12" t="str">
            <v>NA</v>
          </cell>
          <cell r="AD12" t="str">
            <v>NA</v>
          </cell>
          <cell r="AF12" t="str">
            <v>NA</v>
          </cell>
          <cell r="AH12" t="str">
            <v>NA</v>
          </cell>
          <cell r="AJ12" t="str">
            <v>NA</v>
          </cell>
          <cell r="AL12" t="str">
            <v>NA</v>
          </cell>
          <cell r="AN12">
            <v>0</v>
          </cell>
          <cell r="AO12">
            <v>0</v>
          </cell>
          <cell r="AP12">
            <v>0</v>
          </cell>
          <cell r="AQ12">
            <v>0</v>
          </cell>
          <cell r="AR12">
            <v>0</v>
          </cell>
          <cell r="AS12">
            <v>0</v>
          </cell>
          <cell r="AT12">
            <v>0</v>
          </cell>
          <cell r="AU12">
            <v>0</v>
          </cell>
          <cell r="AV12">
            <v>0</v>
          </cell>
          <cell r="AW12">
            <v>0</v>
          </cell>
          <cell r="AX12">
            <v>0</v>
          </cell>
          <cell r="AZ12">
            <v>0</v>
          </cell>
          <cell r="BB12">
            <v>0</v>
          </cell>
          <cell r="BD12">
            <v>0</v>
          </cell>
          <cell r="BF12">
            <v>0</v>
          </cell>
          <cell r="BH12">
            <v>0</v>
          </cell>
          <cell r="BJ12">
            <v>0</v>
          </cell>
          <cell r="BL12">
            <v>0</v>
          </cell>
          <cell r="BM12" t="e">
            <v>#REF!</v>
          </cell>
          <cell r="BN12">
            <v>0</v>
          </cell>
          <cell r="BO12" t="e">
            <v>#REF!</v>
          </cell>
          <cell r="BP12">
            <v>0</v>
          </cell>
          <cell r="BQ12" t="e">
            <v>#REF!</v>
          </cell>
          <cell r="BR12">
            <v>0</v>
          </cell>
          <cell r="BS12" t="e">
            <v>#REF!</v>
          </cell>
          <cell r="BT12">
            <v>0</v>
          </cell>
          <cell r="BU12" t="e">
            <v>#REF!</v>
          </cell>
          <cell r="BV12">
            <v>0</v>
          </cell>
        </row>
        <row r="13">
          <cell r="B13" t="str">
            <v xml:space="preserve">Total </v>
          </cell>
          <cell r="D13">
            <v>1</v>
          </cell>
          <cell r="F13">
            <v>1</v>
          </cell>
          <cell r="H13">
            <v>1</v>
          </cell>
          <cell r="J13">
            <v>1</v>
          </cell>
          <cell r="L13">
            <v>1</v>
          </cell>
          <cell r="N13">
            <v>1</v>
          </cell>
          <cell r="P13">
            <v>184707</v>
          </cell>
          <cell r="R13">
            <v>189324.67499999999</v>
          </cell>
          <cell r="T13">
            <v>194057.79187499997</v>
          </cell>
          <cell r="V13">
            <v>198909.23667187494</v>
          </cell>
          <cell r="X13">
            <v>203881.9675886718</v>
          </cell>
          <cell r="Z13">
            <v>208979.01677838858</v>
          </cell>
          <cell r="AB13">
            <v>266.31861797333079</v>
          </cell>
          <cell r="AD13">
            <v>268.12796602905172</v>
          </cell>
          <cell r="AF13">
            <v>269.9385623200767</v>
          </cell>
          <cell r="AH13">
            <v>271.76762499680126</v>
          </cell>
          <cell r="AJ13">
            <v>273.6151733641056</v>
          </cell>
          <cell r="AL13">
            <v>275.48122977880303</v>
          </cell>
          <cell r="AN13">
            <v>49.190912970000007</v>
          </cell>
          <cell r="AP13">
            <v>50.763240026861247</v>
          </cell>
          <cell r="AR13">
            <v>52.383681345746155</v>
          </cell>
          <cell r="AT13">
            <v>54.057090840242097</v>
          </cell>
          <cell r="AV13">
            <v>55.785199907589387</v>
          </cell>
          <cell r="AX13">
            <v>57.569796540075593</v>
          </cell>
          <cell r="AZ13">
            <v>8.8419483298922863</v>
          </cell>
          <cell r="BB13">
            <v>9.2247950253973539</v>
          </cell>
          <cell r="BD13">
            <v>9.6622215862677763</v>
          </cell>
          <cell r="BF13">
            <v>10.117536550928387</v>
          </cell>
          <cell r="BH13">
            <v>10.591426429178886</v>
          </cell>
          <cell r="BJ13">
            <v>11.084603132565491</v>
          </cell>
          <cell r="BL13">
            <v>1.455287</v>
          </cell>
          <cell r="BM13" t="e">
            <v>#REF!</v>
          </cell>
          <cell r="BN13">
            <v>1.548</v>
          </cell>
          <cell r="BO13" t="e">
            <v>#REF!</v>
          </cell>
          <cell r="BP13">
            <v>1.272</v>
          </cell>
          <cell r="BQ13" t="e">
            <v>#REF!</v>
          </cell>
          <cell r="BR13">
            <v>1.423</v>
          </cell>
          <cell r="BS13" t="e">
            <v>#REF!</v>
          </cell>
          <cell r="BT13">
            <v>1.5740000000000001</v>
          </cell>
          <cell r="BU13" t="e">
            <v>#REF!</v>
          </cell>
          <cell r="BV13">
            <v>1.45425</v>
          </cell>
        </row>
        <row r="15">
          <cell r="B15" t="str">
            <v>Indiana:</v>
          </cell>
        </row>
        <row r="16">
          <cell r="B16" t="str">
            <v>Base Solid</v>
          </cell>
          <cell r="D16">
            <v>1</v>
          </cell>
          <cell r="F16">
            <v>1</v>
          </cell>
          <cell r="H16">
            <v>1</v>
          </cell>
          <cell r="J16">
            <v>0.5</v>
          </cell>
          <cell r="L16">
            <v>0</v>
          </cell>
          <cell r="N16">
            <v>0</v>
          </cell>
          <cell r="P16">
            <v>28992</v>
          </cell>
          <cell r="Q16" t="e">
            <v>#REF!</v>
          </cell>
          <cell r="R16">
            <v>29571.84</v>
          </cell>
          <cell r="S16" t="e">
            <v>#REF!</v>
          </cell>
          <cell r="T16">
            <v>30163.2768</v>
          </cell>
          <cell r="U16" t="e">
            <v>#REF!</v>
          </cell>
          <cell r="V16">
            <v>15383.271167999999</v>
          </cell>
          <cell r="W16" t="e">
            <v>#REF!</v>
          </cell>
          <cell r="X16">
            <v>0</v>
          </cell>
          <cell r="Y16" t="e">
            <v>#REF!</v>
          </cell>
          <cell r="Z16">
            <v>0</v>
          </cell>
          <cell r="AB16">
            <v>356.2748230546357</v>
          </cell>
          <cell r="AD16">
            <v>359.03937816096328</v>
          </cell>
          <cell r="AF16">
            <v>361.70778485894743</v>
          </cell>
          <cell r="AH16">
            <v>364.39668281575899</v>
          </cell>
          <cell r="AJ16" t="str">
            <v>NA</v>
          </cell>
          <cell r="AL16" t="str">
            <v>NA</v>
          </cell>
          <cell r="AN16">
            <v>10.329119669999999</v>
          </cell>
          <cell r="AO16" t="e">
            <v>#REF!</v>
          </cell>
          <cell r="AP16">
            <v>10.6174550446755</v>
          </cell>
          <cell r="AQ16" t="e">
            <v>#REF!</v>
          </cell>
          <cell r="AR16">
            <v>10.91029203541528</v>
          </cell>
          <cell r="AS16" t="e">
            <v>#REF!</v>
          </cell>
          <cell r="AT16">
            <v>5.6056129844745062</v>
          </cell>
          <cell r="AU16" t="e">
            <v>#REF!</v>
          </cell>
          <cell r="AV16">
            <v>0</v>
          </cell>
          <cell r="AW16" t="e">
            <v>#REF!</v>
          </cell>
          <cell r="AX16">
            <v>0</v>
          </cell>
          <cell r="AZ16">
            <v>1.2289897787014161</v>
          </cell>
          <cell r="BB16">
            <v>1.3300815777271109</v>
          </cell>
          <cell r="BD16">
            <v>1.4044657497093813</v>
          </cell>
          <cell r="BF16">
            <v>0.7407769656621922</v>
          </cell>
          <cell r="BH16">
            <v>0</v>
          </cell>
          <cell r="BJ16">
            <v>0</v>
          </cell>
          <cell r="BL16">
            <v>0.44829000000000002</v>
          </cell>
          <cell r="BM16" t="e">
            <v>#REF!</v>
          </cell>
          <cell r="BN16">
            <v>0.441</v>
          </cell>
          <cell r="BO16" t="e">
            <v>#REF!</v>
          </cell>
          <cell r="BP16">
            <v>0.25700000000000001</v>
          </cell>
          <cell r="BQ16" t="e">
            <v>#REF!</v>
          </cell>
          <cell r="BR16">
            <v>0</v>
          </cell>
          <cell r="BS16" t="e">
            <v>#REF!</v>
          </cell>
          <cell r="BT16">
            <v>0</v>
          </cell>
          <cell r="BU16" t="e">
            <v>#REF!</v>
          </cell>
          <cell r="BV16">
            <v>0</v>
          </cell>
        </row>
        <row r="17">
          <cell r="B17" t="str">
            <v>Base Extension</v>
          </cell>
          <cell r="D17">
            <v>0</v>
          </cell>
          <cell r="F17">
            <v>0</v>
          </cell>
          <cell r="H17">
            <v>0</v>
          </cell>
          <cell r="J17">
            <v>0</v>
          </cell>
          <cell r="L17">
            <v>0</v>
          </cell>
          <cell r="N17">
            <v>0</v>
          </cell>
          <cell r="AZ17">
            <v>0</v>
          </cell>
          <cell r="BB17">
            <v>0</v>
          </cell>
          <cell r="BD17">
            <v>0</v>
          </cell>
          <cell r="BF17">
            <v>0</v>
          </cell>
          <cell r="BH17">
            <v>0</v>
          </cell>
          <cell r="BJ17">
            <v>0</v>
          </cell>
        </row>
        <row r="18">
          <cell r="B18" t="str">
            <v>Base Recompete (No RFP Req'd)</v>
          </cell>
          <cell r="D18">
            <v>0</v>
          </cell>
          <cell r="F18">
            <v>0</v>
          </cell>
          <cell r="H18">
            <v>0</v>
          </cell>
          <cell r="J18">
            <v>0</v>
          </cell>
          <cell r="L18">
            <v>0</v>
          </cell>
          <cell r="N18">
            <v>0</v>
          </cell>
          <cell r="AZ18">
            <v>0</v>
          </cell>
          <cell r="BB18">
            <v>0</v>
          </cell>
          <cell r="BD18">
            <v>0</v>
          </cell>
          <cell r="BF18">
            <v>0</v>
          </cell>
          <cell r="BH18">
            <v>0</v>
          </cell>
          <cell r="BJ18">
            <v>0</v>
          </cell>
        </row>
        <row r="19">
          <cell r="B19" t="str">
            <v>Base Recompete (Open RFP Req'd)</v>
          </cell>
          <cell r="D19">
            <v>0</v>
          </cell>
          <cell r="F19">
            <v>0</v>
          </cell>
          <cell r="H19">
            <v>0</v>
          </cell>
          <cell r="J19">
            <v>0.5</v>
          </cell>
          <cell r="L19">
            <v>1</v>
          </cell>
          <cell r="N19">
            <v>1</v>
          </cell>
          <cell r="AZ19">
            <v>0</v>
          </cell>
          <cell r="BB19">
            <v>0</v>
          </cell>
          <cell r="BD19">
            <v>0</v>
          </cell>
          <cell r="BF19">
            <v>0.7407769656621922</v>
          </cell>
          <cell r="BH19">
            <v>1.5614361926755465</v>
          </cell>
          <cell r="BJ19">
            <v>1.6442054656996352</v>
          </cell>
        </row>
        <row r="20">
          <cell r="B20" t="str">
            <v>Waco / ETX at Risk</v>
          </cell>
          <cell r="D20">
            <v>0</v>
          </cell>
          <cell r="F20">
            <v>0</v>
          </cell>
          <cell r="H20">
            <v>0</v>
          </cell>
          <cell r="J20">
            <v>0</v>
          </cell>
          <cell r="L20">
            <v>0</v>
          </cell>
          <cell r="N20">
            <v>0</v>
          </cell>
          <cell r="AZ20">
            <v>0</v>
          </cell>
          <cell r="BB20">
            <v>0</v>
          </cell>
          <cell r="BD20">
            <v>0</v>
          </cell>
          <cell r="BF20">
            <v>0</v>
          </cell>
          <cell r="BH20">
            <v>0</v>
          </cell>
          <cell r="BJ20">
            <v>0</v>
          </cell>
        </row>
        <row r="21">
          <cell r="B21" t="str">
            <v>CA Expected Loss</v>
          </cell>
          <cell r="D21">
            <v>0</v>
          </cell>
          <cell r="F21">
            <v>0</v>
          </cell>
          <cell r="H21">
            <v>0</v>
          </cell>
          <cell r="J21">
            <v>0</v>
          </cell>
          <cell r="L21">
            <v>0</v>
          </cell>
          <cell r="N21">
            <v>0</v>
          </cell>
          <cell r="AZ21">
            <v>0</v>
          </cell>
          <cell r="BB21">
            <v>0</v>
          </cell>
          <cell r="BD21">
            <v>0</v>
          </cell>
          <cell r="BF21">
            <v>0</v>
          </cell>
          <cell r="BH21">
            <v>0</v>
          </cell>
          <cell r="BJ21">
            <v>0</v>
          </cell>
        </row>
        <row r="22">
          <cell r="B22" t="str">
            <v>Acquisitions / RPFs</v>
          </cell>
          <cell r="D22">
            <v>0</v>
          </cell>
          <cell r="F22">
            <v>0</v>
          </cell>
          <cell r="H22">
            <v>0</v>
          </cell>
          <cell r="J22">
            <v>0</v>
          </cell>
          <cell r="L22">
            <v>0</v>
          </cell>
          <cell r="N22">
            <v>0</v>
          </cell>
          <cell r="AZ22">
            <v>0</v>
          </cell>
          <cell r="BB22">
            <v>0</v>
          </cell>
          <cell r="BD22">
            <v>0</v>
          </cell>
          <cell r="BF22">
            <v>0</v>
          </cell>
          <cell r="BH22">
            <v>0</v>
          </cell>
          <cell r="BJ22">
            <v>0</v>
          </cell>
        </row>
        <row r="23">
          <cell r="B23" t="str">
            <v xml:space="preserve">Total </v>
          </cell>
          <cell r="D23">
            <v>1</v>
          </cell>
          <cell r="F23">
            <v>1</v>
          </cell>
          <cell r="H23">
            <v>1</v>
          </cell>
          <cell r="J23">
            <v>1</v>
          </cell>
          <cell r="L23">
            <v>1</v>
          </cell>
          <cell r="N23">
            <v>1</v>
          </cell>
          <cell r="P23">
            <v>28992</v>
          </cell>
          <cell r="Q23" t="e">
            <v>#REF!</v>
          </cell>
          <cell r="R23">
            <v>29571.84</v>
          </cell>
          <cell r="S23" t="e">
            <v>#REF!</v>
          </cell>
          <cell r="T23">
            <v>30163.2768</v>
          </cell>
          <cell r="U23" t="e">
            <v>#REF!</v>
          </cell>
          <cell r="V23">
            <v>30766.542335999999</v>
          </cell>
          <cell r="W23" t="e">
            <v>#REF!</v>
          </cell>
          <cell r="X23">
            <v>31381.873182719999</v>
          </cell>
          <cell r="Y23" t="e">
            <v>#REF!</v>
          </cell>
          <cell r="Z23">
            <v>32009.510646374398</v>
          </cell>
          <cell r="AB23">
            <v>356.2748230546357</v>
          </cell>
          <cell r="AD23">
            <v>359.03937816096328</v>
          </cell>
          <cell r="AF23">
            <v>361.70778485894743</v>
          </cell>
          <cell r="AH23">
            <v>364.39668281575899</v>
          </cell>
          <cell r="AJ23">
            <v>367.10621633920016</v>
          </cell>
          <cell r="AL23">
            <v>369.83653100323733</v>
          </cell>
          <cell r="AN23">
            <v>10.329119669999999</v>
          </cell>
          <cell r="AO23" t="e">
            <v>#REF!</v>
          </cell>
          <cell r="AP23">
            <v>10.6174550446755</v>
          </cell>
          <cell r="AQ23" t="e">
            <v>#REF!</v>
          </cell>
          <cell r="AR23">
            <v>10.91029203541528</v>
          </cell>
          <cell r="AS23" t="e">
            <v>#REF!</v>
          </cell>
          <cell r="AT23">
            <v>11.211225968949012</v>
          </cell>
          <cell r="AU23" t="e">
            <v>#REF!</v>
          </cell>
          <cell r="AV23">
            <v>11.520480725744951</v>
          </cell>
          <cell r="AW23" t="e">
            <v>#REF!</v>
          </cell>
          <cell r="AX23">
            <v>11.8382863765663</v>
          </cell>
          <cell r="AZ23">
            <v>1.2289897787014161</v>
          </cell>
          <cell r="BB23">
            <v>1.3300815777271109</v>
          </cell>
          <cell r="BD23">
            <v>1.4044657497093813</v>
          </cell>
          <cell r="BF23">
            <v>1.4815539313243844</v>
          </cell>
          <cell r="BH23">
            <v>1.5614361926755465</v>
          </cell>
          <cell r="BJ23">
            <v>1.6442054656996352</v>
          </cell>
          <cell r="BL23">
            <v>0.44829000000000002</v>
          </cell>
          <cell r="BM23" t="e">
            <v>#REF!</v>
          </cell>
          <cell r="BN23">
            <v>0.441</v>
          </cell>
          <cell r="BO23" t="e">
            <v>#REF!</v>
          </cell>
          <cell r="BP23">
            <v>0.25700000000000001</v>
          </cell>
          <cell r="BQ23" t="e">
            <v>#REF!</v>
          </cell>
          <cell r="BR23">
            <v>0</v>
          </cell>
          <cell r="BS23" t="e">
            <v>#REF!</v>
          </cell>
          <cell r="BT23">
            <v>0</v>
          </cell>
          <cell r="BU23" t="e">
            <v>#REF!</v>
          </cell>
          <cell r="BV23">
            <v>0.17449999999999999</v>
          </cell>
        </row>
        <row r="25">
          <cell r="B25" t="str">
            <v>South Dakota:</v>
          </cell>
        </row>
        <row r="26">
          <cell r="B26" t="str">
            <v>Base Solid</v>
          </cell>
          <cell r="D26">
            <v>1</v>
          </cell>
          <cell r="F26">
            <v>1</v>
          </cell>
          <cell r="H26">
            <v>1</v>
          </cell>
          <cell r="J26">
            <v>0.41666666666666669</v>
          </cell>
          <cell r="L26">
            <v>0</v>
          </cell>
          <cell r="N26">
            <v>0</v>
          </cell>
          <cell r="P26">
            <v>11938</v>
          </cell>
          <cell r="Q26" t="e">
            <v>#REF!</v>
          </cell>
          <cell r="R26">
            <v>12176.76</v>
          </cell>
          <cell r="S26" t="e">
            <v>#REF!</v>
          </cell>
          <cell r="T26">
            <v>12420.2952</v>
          </cell>
          <cell r="U26" t="e">
            <v>#REF!</v>
          </cell>
          <cell r="V26">
            <v>5278.6254600000011</v>
          </cell>
          <cell r="W26" t="e">
            <v>#REF!</v>
          </cell>
          <cell r="X26">
            <v>0</v>
          </cell>
          <cell r="Y26" t="e">
            <v>#REF!</v>
          </cell>
          <cell r="Z26">
            <v>0</v>
          </cell>
          <cell r="AB26">
            <v>400.35076698413633</v>
          </cell>
          <cell r="AD26">
            <v>403.82749673510165</v>
          </cell>
          <cell r="AF26">
            <v>406.10256299769361</v>
          </cell>
          <cell r="AH26">
            <v>408.40946951142985</v>
          </cell>
          <cell r="AJ26" t="str">
            <v>NA</v>
          </cell>
          <cell r="AL26" t="str">
            <v>NA</v>
          </cell>
          <cell r="AN26">
            <v>4.7793874562566199</v>
          </cell>
          <cell r="AO26" t="e">
            <v>#REF!</v>
          </cell>
          <cell r="AP26">
            <v>4.9173105091441158</v>
          </cell>
          <cell r="AQ26" t="e">
            <v>#REF!</v>
          </cell>
          <cell r="AR26">
            <v>5.0439137139079513</v>
          </cell>
          <cell r="AS26" t="e">
            <v>#REF!</v>
          </cell>
          <cell r="AT26">
            <v>2.1558406238681278</v>
          </cell>
          <cell r="AU26" t="e">
            <v>#REF!</v>
          </cell>
          <cell r="AV26">
            <v>0</v>
          </cell>
          <cell r="AW26" t="e">
            <v>#REF!</v>
          </cell>
          <cell r="AX26">
            <v>0</v>
          </cell>
          <cell r="AZ26">
            <v>1.2169548954015008</v>
          </cell>
          <cell r="BB26">
            <v>1.2816064004042331</v>
          </cell>
          <cell r="BD26">
            <v>1.329321727998531</v>
          </cell>
          <cell r="BF26">
            <v>0.57444336706334109</v>
          </cell>
          <cell r="BH26">
            <v>0</v>
          </cell>
          <cell r="BJ26">
            <v>0</v>
          </cell>
          <cell r="BL26">
            <v>0</v>
          </cell>
          <cell r="BM26" t="e">
            <v>#REF!</v>
          </cell>
          <cell r="BN26">
            <v>0</v>
          </cell>
          <cell r="BO26" t="e">
            <v>#REF!</v>
          </cell>
          <cell r="BP26">
            <v>0.26</v>
          </cell>
          <cell r="BQ26" t="e">
            <v>#REF!</v>
          </cell>
          <cell r="BR26">
            <v>7.6249999999999998E-2</v>
          </cell>
          <cell r="BS26" t="e">
            <v>#REF!</v>
          </cell>
          <cell r="BT26">
            <v>0</v>
          </cell>
          <cell r="BU26" t="e">
            <v>#REF!</v>
          </cell>
          <cell r="BV26">
            <v>0</v>
          </cell>
        </row>
        <row r="27">
          <cell r="B27" t="str">
            <v>Base Extension</v>
          </cell>
          <cell r="D27">
            <v>0</v>
          </cell>
          <cell r="F27">
            <v>0</v>
          </cell>
          <cell r="H27">
            <v>0</v>
          </cell>
          <cell r="J27">
            <v>0.58333333333333326</v>
          </cell>
          <cell r="L27">
            <v>1</v>
          </cell>
          <cell r="N27">
            <v>1</v>
          </cell>
          <cell r="AZ27">
            <v>0</v>
          </cell>
          <cell r="BB27">
            <v>0</v>
          </cell>
          <cell r="BD27">
            <v>0</v>
          </cell>
          <cell r="BF27">
            <v>0.80422071388867733</v>
          </cell>
          <cell r="BH27">
            <v>1.4296847279079465</v>
          </cell>
          <cell r="BJ27">
            <v>1.4824364960961953</v>
          </cell>
        </row>
        <row r="28">
          <cell r="B28" t="str">
            <v>Base Recompete (No RFP Req'd)</v>
          </cell>
          <cell r="D28">
            <v>0</v>
          </cell>
          <cell r="F28">
            <v>0</v>
          </cell>
          <cell r="H28">
            <v>0</v>
          </cell>
          <cell r="J28">
            <v>0</v>
          </cell>
          <cell r="L28">
            <v>0</v>
          </cell>
          <cell r="N28">
            <v>0</v>
          </cell>
          <cell r="AZ28">
            <v>0</v>
          </cell>
          <cell r="BB28">
            <v>0</v>
          </cell>
          <cell r="BD28">
            <v>0</v>
          </cell>
          <cell r="BF28">
            <v>0</v>
          </cell>
          <cell r="BH28">
            <v>0</v>
          </cell>
          <cell r="BJ28">
            <v>0</v>
          </cell>
        </row>
        <row r="29">
          <cell r="B29" t="str">
            <v>Base Recompete (Open RFP Req'd)</v>
          </cell>
          <cell r="D29">
            <v>0</v>
          </cell>
          <cell r="F29">
            <v>0</v>
          </cell>
          <cell r="H29">
            <v>0</v>
          </cell>
          <cell r="J29">
            <v>0</v>
          </cell>
          <cell r="L29">
            <v>0</v>
          </cell>
          <cell r="N29">
            <v>0</v>
          </cell>
          <cell r="AZ29">
            <v>0</v>
          </cell>
          <cell r="BB29">
            <v>0</v>
          </cell>
          <cell r="BD29">
            <v>0</v>
          </cell>
          <cell r="BF29">
            <v>0</v>
          </cell>
          <cell r="BH29">
            <v>0</v>
          </cell>
          <cell r="BJ29">
            <v>0</v>
          </cell>
        </row>
        <row r="30">
          <cell r="B30" t="str">
            <v>Waco / ETX at Risk</v>
          </cell>
          <cell r="D30">
            <v>0</v>
          </cell>
          <cell r="F30">
            <v>0</v>
          </cell>
          <cell r="H30">
            <v>0</v>
          </cell>
          <cell r="J30">
            <v>0</v>
          </cell>
          <cell r="L30">
            <v>0</v>
          </cell>
          <cell r="N30">
            <v>0</v>
          </cell>
          <cell r="AZ30">
            <v>0</v>
          </cell>
          <cell r="BB30">
            <v>0</v>
          </cell>
          <cell r="BD30">
            <v>0</v>
          </cell>
          <cell r="BF30">
            <v>0</v>
          </cell>
          <cell r="BH30">
            <v>0</v>
          </cell>
          <cell r="BJ30">
            <v>0</v>
          </cell>
        </row>
        <row r="31">
          <cell r="B31" t="str">
            <v>CA Expected Loss</v>
          </cell>
          <cell r="D31">
            <v>0</v>
          </cell>
          <cell r="F31">
            <v>0</v>
          </cell>
          <cell r="H31">
            <v>0</v>
          </cell>
          <cell r="J31">
            <v>0</v>
          </cell>
          <cell r="L31">
            <v>0</v>
          </cell>
          <cell r="N31">
            <v>0</v>
          </cell>
          <cell r="AZ31">
            <v>0</v>
          </cell>
          <cell r="BB31">
            <v>0</v>
          </cell>
          <cell r="BD31">
            <v>0</v>
          </cell>
          <cell r="BF31">
            <v>0</v>
          </cell>
          <cell r="BH31">
            <v>0</v>
          </cell>
          <cell r="BJ31">
            <v>0</v>
          </cell>
        </row>
        <row r="32">
          <cell r="B32" t="str">
            <v>Acquisitions / RPFs</v>
          </cell>
          <cell r="D32">
            <v>0</v>
          </cell>
          <cell r="F32">
            <v>0</v>
          </cell>
          <cell r="H32">
            <v>0</v>
          </cell>
          <cell r="J32">
            <v>0</v>
          </cell>
          <cell r="L32">
            <v>0</v>
          </cell>
          <cell r="N32">
            <v>0</v>
          </cell>
          <cell r="AZ32">
            <v>0</v>
          </cell>
          <cell r="BB32">
            <v>0</v>
          </cell>
          <cell r="BD32">
            <v>0</v>
          </cell>
          <cell r="BF32">
            <v>0</v>
          </cell>
          <cell r="BH32">
            <v>0</v>
          </cell>
          <cell r="BJ32">
            <v>0</v>
          </cell>
        </row>
        <row r="33">
          <cell r="B33" t="str">
            <v xml:space="preserve">Total </v>
          </cell>
          <cell r="D33">
            <v>1</v>
          </cell>
          <cell r="F33">
            <v>1</v>
          </cell>
          <cell r="H33">
            <v>1</v>
          </cell>
          <cell r="J33">
            <v>1</v>
          </cell>
          <cell r="L33">
            <v>1</v>
          </cell>
          <cell r="N33">
            <v>1</v>
          </cell>
          <cell r="P33">
            <v>11938</v>
          </cell>
          <cell r="Q33" t="e">
            <v>#REF!</v>
          </cell>
          <cell r="R33">
            <v>12176.76</v>
          </cell>
          <cell r="S33" t="e">
            <v>#REF!</v>
          </cell>
          <cell r="T33">
            <v>12420.2952</v>
          </cell>
          <cell r="U33" t="e">
            <v>#REF!</v>
          </cell>
          <cell r="V33">
            <v>12668.701104000002</v>
          </cell>
          <cell r="W33" t="e">
            <v>#REF!</v>
          </cell>
          <cell r="X33">
            <v>12922.075126080003</v>
          </cell>
          <cell r="Y33" t="e">
            <v>#REF!</v>
          </cell>
          <cell r="Z33">
            <v>13180.516628601603</v>
          </cell>
          <cell r="AB33">
            <v>400.35076698413633</v>
          </cell>
          <cell r="AD33">
            <v>403.82749673510165</v>
          </cell>
          <cell r="AF33">
            <v>406.10256299769361</v>
          </cell>
          <cell r="AH33">
            <v>408.4094695114299</v>
          </cell>
          <cell r="AJ33">
            <v>410.74816532811224</v>
          </cell>
          <cell r="AL33">
            <v>413.11860479880522</v>
          </cell>
          <cell r="AN33">
            <v>4.7793874562566199</v>
          </cell>
          <cell r="AO33" t="e">
            <v>#REF!</v>
          </cell>
          <cell r="AP33">
            <v>4.9173105091441158</v>
          </cell>
          <cell r="AQ33" t="e">
            <v>#REF!</v>
          </cell>
          <cell r="AR33">
            <v>5.0439137139079513</v>
          </cell>
          <cell r="AS33" t="e">
            <v>#REF!</v>
          </cell>
          <cell r="AT33">
            <v>5.1740174972835069</v>
          </cell>
          <cell r="AU33" t="e">
            <v>#REF!</v>
          </cell>
          <cell r="AV33">
            <v>5.307718650269396</v>
          </cell>
          <cell r="AW33" t="e">
            <v>#REF!</v>
          </cell>
          <cell r="AX33">
            <v>5.4451166401353461</v>
          </cell>
          <cell r="AZ33">
            <v>1.2169548954015008</v>
          </cell>
          <cell r="BB33">
            <v>1.2816064004042331</v>
          </cell>
          <cell r="BD33">
            <v>1.329321727998531</v>
          </cell>
          <cell r="BF33">
            <v>1.3786640809520185</v>
          </cell>
          <cell r="BH33">
            <v>1.4296847279079465</v>
          </cell>
          <cell r="BJ33">
            <v>1.4824364960961953</v>
          </cell>
          <cell r="BL33">
            <v>0</v>
          </cell>
          <cell r="BM33" t="e">
            <v>#REF!</v>
          </cell>
          <cell r="BN33">
            <v>0</v>
          </cell>
          <cell r="BO33" t="e">
            <v>#REF!</v>
          </cell>
          <cell r="BP33">
            <v>0.26</v>
          </cell>
          <cell r="BQ33" t="e">
            <v>#REF!</v>
          </cell>
          <cell r="BR33">
            <v>0.183</v>
          </cell>
          <cell r="BS33" t="e">
            <v>#REF!</v>
          </cell>
          <cell r="BT33">
            <v>0.57599999999999996</v>
          </cell>
          <cell r="BU33" t="e">
            <v>#REF!</v>
          </cell>
          <cell r="BV33">
            <v>0.25474999999999998</v>
          </cell>
        </row>
        <row r="35">
          <cell r="B35" t="str">
            <v xml:space="preserve">Wylie: </v>
          </cell>
        </row>
        <row r="36">
          <cell r="B36" t="str">
            <v>Base Solid</v>
          </cell>
          <cell r="D36">
            <v>1</v>
          </cell>
          <cell r="F36">
            <v>1</v>
          </cell>
          <cell r="H36">
            <v>0.75</v>
          </cell>
          <cell r="J36">
            <v>0</v>
          </cell>
          <cell r="L36">
            <v>0</v>
          </cell>
          <cell r="N36">
            <v>0</v>
          </cell>
          <cell r="P36">
            <v>0</v>
          </cell>
          <cell r="Q36" t="e">
            <v>#REF!</v>
          </cell>
          <cell r="R36">
            <v>0</v>
          </cell>
          <cell r="S36" t="e">
            <v>#REF!</v>
          </cell>
          <cell r="T36">
            <v>0</v>
          </cell>
          <cell r="U36" t="e">
            <v>#REF!</v>
          </cell>
          <cell r="V36">
            <v>0</v>
          </cell>
          <cell r="W36" t="e">
            <v>#REF!</v>
          </cell>
          <cell r="X36">
            <v>0</v>
          </cell>
          <cell r="Y36" t="e">
            <v>#REF!</v>
          </cell>
          <cell r="Z36">
            <v>0</v>
          </cell>
          <cell r="AB36" t="str">
            <v>NA</v>
          </cell>
          <cell r="AD36" t="str">
            <v>NA</v>
          </cell>
          <cell r="AF36" t="str">
            <v>NA</v>
          </cell>
          <cell r="AH36" t="str">
            <v>NA</v>
          </cell>
          <cell r="AJ36" t="str">
            <v>NA</v>
          </cell>
          <cell r="AL36" t="str">
            <v>NA</v>
          </cell>
          <cell r="AZ36">
            <v>0.61403432861635554</v>
          </cell>
          <cell r="BB36">
            <v>0.61459692878493111</v>
          </cell>
          <cell r="BD36">
            <v>0.47272595743172241</v>
          </cell>
          <cell r="BF36">
            <v>0</v>
          </cell>
          <cell r="BH36">
            <v>0</v>
          </cell>
          <cell r="BJ36">
            <v>0</v>
          </cell>
          <cell r="BL36">
            <v>0</v>
          </cell>
          <cell r="BM36" t="e">
            <v>#REF!</v>
          </cell>
          <cell r="BN36">
            <v>0</v>
          </cell>
          <cell r="BO36" t="e">
            <v>#REF!</v>
          </cell>
          <cell r="BP36">
            <v>0</v>
          </cell>
          <cell r="BQ36" t="e">
            <v>#REF!</v>
          </cell>
          <cell r="BR36">
            <v>0</v>
          </cell>
          <cell r="BS36" t="e">
            <v>#REF!</v>
          </cell>
          <cell r="BT36">
            <v>0</v>
          </cell>
          <cell r="BU36" t="e">
            <v>#REF!</v>
          </cell>
          <cell r="BV36">
            <v>0</v>
          </cell>
        </row>
        <row r="37">
          <cell r="B37" t="str">
            <v>Base Extension</v>
          </cell>
          <cell r="D37">
            <v>0</v>
          </cell>
          <cell r="F37">
            <v>0</v>
          </cell>
          <cell r="H37">
            <v>0</v>
          </cell>
          <cell r="J37">
            <v>0</v>
          </cell>
          <cell r="L37">
            <v>0</v>
          </cell>
          <cell r="N37">
            <v>0</v>
          </cell>
          <cell r="P37">
            <v>0</v>
          </cell>
          <cell r="Q37" t="e">
            <v>#REF!</v>
          </cell>
          <cell r="R37">
            <v>0</v>
          </cell>
          <cell r="S37" t="e">
            <v>#REF!</v>
          </cell>
          <cell r="T37">
            <v>0</v>
          </cell>
          <cell r="U37" t="e">
            <v>#REF!</v>
          </cell>
          <cell r="V37">
            <v>0</v>
          </cell>
          <cell r="W37" t="e">
            <v>#REF!</v>
          </cell>
          <cell r="X37">
            <v>0</v>
          </cell>
          <cell r="Y37" t="e">
            <v>#REF!</v>
          </cell>
          <cell r="Z37">
            <v>0</v>
          </cell>
          <cell r="AB37" t="str">
            <v>NA</v>
          </cell>
          <cell r="AD37" t="str">
            <v>NA</v>
          </cell>
          <cell r="AF37" t="str">
            <v>NA</v>
          </cell>
          <cell r="AH37" t="str">
            <v>NA</v>
          </cell>
          <cell r="AJ37" t="str">
            <v>NA</v>
          </cell>
          <cell r="AL37" t="str">
            <v>NA</v>
          </cell>
          <cell r="AZ37">
            <v>0</v>
          </cell>
          <cell r="BB37">
            <v>0</v>
          </cell>
          <cell r="BD37">
            <v>0</v>
          </cell>
          <cell r="BF37">
            <v>0</v>
          </cell>
          <cell r="BH37">
            <v>0</v>
          </cell>
          <cell r="BJ37">
            <v>0</v>
          </cell>
          <cell r="BL37">
            <v>0</v>
          </cell>
          <cell r="BM37" t="e">
            <v>#REF!</v>
          </cell>
          <cell r="BN37">
            <v>0</v>
          </cell>
          <cell r="BO37" t="e">
            <v>#REF!</v>
          </cell>
          <cell r="BP37">
            <v>0</v>
          </cell>
          <cell r="BQ37" t="e">
            <v>#REF!</v>
          </cell>
          <cell r="BR37">
            <v>0</v>
          </cell>
          <cell r="BS37" t="e">
            <v>#REF!</v>
          </cell>
          <cell r="BT37">
            <v>0</v>
          </cell>
          <cell r="BU37" t="e">
            <v>#REF!</v>
          </cell>
          <cell r="BV37">
            <v>0</v>
          </cell>
        </row>
        <row r="38">
          <cell r="B38" t="str">
            <v>Base Recompete (No RFP Req'd)</v>
          </cell>
          <cell r="D38">
            <v>0</v>
          </cell>
          <cell r="F38">
            <v>0</v>
          </cell>
          <cell r="H38">
            <v>0.25</v>
          </cell>
          <cell r="J38">
            <v>1</v>
          </cell>
          <cell r="L38">
            <v>1</v>
          </cell>
          <cell r="N38">
            <v>1</v>
          </cell>
          <cell r="P38">
            <v>0</v>
          </cell>
          <cell r="Q38" t="e">
            <v>#REF!</v>
          </cell>
          <cell r="R38">
            <v>0</v>
          </cell>
          <cell r="S38" t="e">
            <v>#REF!</v>
          </cell>
          <cell r="T38">
            <v>0</v>
          </cell>
          <cell r="U38" t="e">
            <v>#REF!</v>
          </cell>
          <cell r="V38">
            <v>0</v>
          </cell>
          <cell r="W38" t="e">
            <v>#REF!</v>
          </cell>
          <cell r="X38">
            <v>0</v>
          </cell>
          <cell r="Y38" t="e">
            <v>#REF!</v>
          </cell>
          <cell r="Z38">
            <v>0</v>
          </cell>
          <cell r="AB38" t="str">
            <v>NA</v>
          </cell>
          <cell r="AD38" t="str">
            <v>NA</v>
          </cell>
          <cell r="AF38" t="str">
            <v>NA</v>
          </cell>
          <cell r="AH38" t="str">
            <v>NA</v>
          </cell>
          <cell r="AJ38" t="str">
            <v>NA</v>
          </cell>
          <cell r="AL38" t="str">
            <v>NA</v>
          </cell>
          <cell r="AZ38">
            <v>0</v>
          </cell>
          <cell r="BB38">
            <v>0</v>
          </cell>
          <cell r="BD38">
            <v>0.15757531914390746</v>
          </cell>
          <cell r="BF38">
            <v>0.64651833819175231</v>
          </cell>
          <cell r="BH38">
            <v>0.66326402877566371</v>
          </cell>
          <cell r="BJ38">
            <v>0.68055474444605923</v>
          </cell>
          <cell r="BL38">
            <v>0</v>
          </cell>
          <cell r="BM38" t="e">
            <v>#REF!</v>
          </cell>
          <cell r="BN38">
            <v>0</v>
          </cell>
          <cell r="BO38" t="e">
            <v>#REF!</v>
          </cell>
          <cell r="BP38">
            <v>0</v>
          </cell>
          <cell r="BQ38" t="e">
            <v>#REF!</v>
          </cell>
          <cell r="BR38">
            <v>0</v>
          </cell>
          <cell r="BS38" t="e">
            <v>#REF!</v>
          </cell>
          <cell r="BT38">
            <v>0</v>
          </cell>
          <cell r="BU38" t="e">
            <v>#REF!</v>
          </cell>
          <cell r="BV38">
            <v>0</v>
          </cell>
        </row>
        <row r="39">
          <cell r="B39" t="str">
            <v>Base Recompete (Open RFP Req'd)</v>
          </cell>
          <cell r="D39">
            <v>0</v>
          </cell>
          <cell r="F39">
            <v>0</v>
          </cell>
          <cell r="H39">
            <v>0</v>
          </cell>
          <cell r="J39">
            <v>0</v>
          </cell>
          <cell r="L39">
            <v>0</v>
          </cell>
          <cell r="N39">
            <v>0</v>
          </cell>
          <cell r="AZ39">
            <v>0</v>
          </cell>
          <cell r="BB39">
            <v>0</v>
          </cell>
          <cell r="BD39">
            <v>0</v>
          </cell>
          <cell r="BF39">
            <v>0</v>
          </cell>
          <cell r="BH39">
            <v>0</v>
          </cell>
          <cell r="BJ39">
            <v>0</v>
          </cell>
        </row>
        <row r="40">
          <cell r="B40" t="str">
            <v>Waco / ETX at Risk</v>
          </cell>
          <cell r="D40">
            <v>0</v>
          </cell>
          <cell r="F40">
            <v>0</v>
          </cell>
          <cell r="H40">
            <v>0</v>
          </cell>
          <cell r="J40">
            <v>0</v>
          </cell>
          <cell r="L40">
            <v>0</v>
          </cell>
          <cell r="N40">
            <v>0</v>
          </cell>
          <cell r="AZ40">
            <v>0</v>
          </cell>
          <cell r="BB40">
            <v>0</v>
          </cell>
          <cell r="BD40">
            <v>0</v>
          </cell>
          <cell r="BF40">
            <v>0</v>
          </cell>
          <cell r="BH40">
            <v>0</v>
          </cell>
          <cell r="BJ40">
            <v>0</v>
          </cell>
        </row>
        <row r="41">
          <cell r="B41" t="str">
            <v>CA Expected Loss</v>
          </cell>
          <cell r="D41">
            <v>0</v>
          </cell>
          <cell r="F41">
            <v>0</v>
          </cell>
          <cell r="H41">
            <v>0</v>
          </cell>
          <cell r="J41">
            <v>0</v>
          </cell>
          <cell r="L41">
            <v>0</v>
          </cell>
          <cell r="N41">
            <v>0</v>
          </cell>
          <cell r="AZ41">
            <v>0</v>
          </cell>
          <cell r="BB41">
            <v>0</v>
          </cell>
          <cell r="BD41">
            <v>0</v>
          </cell>
          <cell r="BF41">
            <v>0</v>
          </cell>
          <cell r="BH41">
            <v>0</v>
          </cell>
          <cell r="BJ41">
            <v>0</v>
          </cell>
        </row>
        <row r="42">
          <cell r="B42" t="str">
            <v>Acquisitions / RPFs</v>
          </cell>
          <cell r="D42">
            <v>0</v>
          </cell>
          <cell r="F42">
            <v>0</v>
          </cell>
          <cell r="H42">
            <v>0</v>
          </cell>
          <cell r="J42">
            <v>0</v>
          </cell>
          <cell r="L42">
            <v>0</v>
          </cell>
          <cell r="N42">
            <v>0</v>
          </cell>
          <cell r="AZ42">
            <v>0</v>
          </cell>
          <cell r="BB42">
            <v>0</v>
          </cell>
          <cell r="BD42">
            <v>0</v>
          </cell>
          <cell r="BF42">
            <v>0</v>
          </cell>
          <cell r="BH42">
            <v>0</v>
          </cell>
          <cell r="BJ42">
            <v>0</v>
          </cell>
        </row>
        <row r="43">
          <cell r="B43" t="str">
            <v xml:space="preserve">Total </v>
          </cell>
          <cell r="D43">
            <v>1</v>
          </cell>
          <cell r="F43">
            <v>1</v>
          </cell>
          <cell r="H43">
            <v>1</v>
          </cell>
          <cell r="J43">
            <v>1</v>
          </cell>
          <cell r="L43">
            <v>1</v>
          </cell>
          <cell r="N43">
            <v>1</v>
          </cell>
          <cell r="P43">
            <v>0</v>
          </cell>
          <cell r="Q43" t="e">
            <v>#REF!</v>
          </cell>
          <cell r="R43">
            <v>0</v>
          </cell>
          <cell r="S43" t="e">
            <v>#REF!</v>
          </cell>
          <cell r="T43">
            <v>0</v>
          </cell>
          <cell r="U43" t="e">
            <v>#REF!</v>
          </cell>
          <cell r="V43">
            <v>0</v>
          </cell>
          <cell r="W43" t="e">
            <v>#REF!</v>
          </cell>
          <cell r="X43">
            <v>0</v>
          </cell>
          <cell r="Y43" t="e">
            <v>#REF!</v>
          </cell>
          <cell r="Z43">
            <v>0</v>
          </cell>
          <cell r="AB43" t="str">
            <v>NA</v>
          </cell>
          <cell r="AD43" t="str">
            <v>NA</v>
          </cell>
          <cell r="AF43" t="str">
            <v>NA</v>
          </cell>
          <cell r="AH43" t="str">
            <v>NA</v>
          </cell>
          <cell r="AJ43" t="str">
            <v>NA</v>
          </cell>
          <cell r="AL43" t="str">
            <v>NA</v>
          </cell>
          <cell r="AZ43">
            <v>0.61403432861635554</v>
          </cell>
          <cell r="BB43">
            <v>0.61459692878493111</v>
          </cell>
          <cell r="BD43">
            <v>0.63030127657562984</v>
          </cell>
          <cell r="BF43">
            <v>0.64651833819175231</v>
          </cell>
          <cell r="BH43">
            <v>0.66326402877566371</v>
          </cell>
          <cell r="BJ43">
            <v>0.68055474444605923</v>
          </cell>
          <cell r="BL43">
            <v>0</v>
          </cell>
          <cell r="BM43" t="e">
            <v>#REF!</v>
          </cell>
          <cell r="BN43">
            <v>0</v>
          </cell>
          <cell r="BO43" t="e">
            <v>#REF!</v>
          </cell>
          <cell r="BP43">
            <v>0</v>
          </cell>
          <cell r="BQ43" t="e">
            <v>#REF!</v>
          </cell>
          <cell r="BR43">
            <v>0</v>
          </cell>
          <cell r="BS43" t="e">
            <v>#REF!</v>
          </cell>
          <cell r="BT43">
            <v>0</v>
          </cell>
          <cell r="BU43" t="e">
            <v>#REF!</v>
          </cell>
          <cell r="BV43">
            <v>0</v>
          </cell>
        </row>
        <row r="45">
          <cell r="B45" t="str">
            <v>Waco</v>
          </cell>
        </row>
        <row r="46">
          <cell r="B46" t="str">
            <v>Base Solid</v>
          </cell>
          <cell r="D46">
            <v>0</v>
          </cell>
          <cell r="F46">
            <v>0</v>
          </cell>
          <cell r="H46">
            <v>0</v>
          </cell>
          <cell r="J46">
            <v>0</v>
          </cell>
          <cell r="L46">
            <v>0</v>
          </cell>
          <cell r="N46">
            <v>0</v>
          </cell>
          <cell r="P46">
            <v>0</v>
          </cell>
          <cell r="R46">
            <v>0</v>
          </cell>
          <cell r="T46">
            <v>0</v>
          </cell>
          <cell r="V46">
            <v>0</v>
          </cell>
          <cell r="X46">
            <v>0</v>
          </cell>
          <cell r="Z46">
            <v>0</v>
          </cell>
          <cell r="AB46" t="str">
            <v>NA</v>
          </cell>
          <cell r="AD46" t="str">
            <v>NA</v>
          </cell>
          <cell r="AF46" t="str">
            <v>NA</v>
          </cell>
          <cell r="AH46" t="str">
            <v>NA</v>
          </cell>
          <cell r="AJ46" t="str">
            <v>NA</v>
          </cell>
          <cell r="AL46" t="str">
            <v>NA</v>
          </cell>
          <cell r="AN46">
            <v>0</v>
          </cell>
          <cell r="AP46">
            <v>0</v>
          </cell>
          <cell r="AR46">
            <v>0</v>
          </cell>
          <cell r="AT46">
            <v>0</v>
          </cell>
          <cell r="AV46">
            <v>0</v>
          </cell>
          <cell r="AX46">
            <v>0</v>
          </cell>
          <cell r="AZ46">
            <v>0</v>
          </cell>
          <cell r="BB46">
            <v>0</v>
          </cell>
          <cell r="BD46">
            <v>0</v>
          </cell>
          <cell r="BF46">
            <v>0</v>
          </cell>
          <cell r="BH46">
            <v>0</v>
          </cell>
          <cell r="BJ46">
            <v>0</v>
          </cell>
          <cell r="BL46">
            <v>0</v>
          </cell>
          <cell r="BM46" t="e">
            <v>#REF!</v>
          </cell>
          <cell r="BN46">
            <v>0</v>
          </cell>
          <cell r="BO46" t="e">
            <v>#REF!</v>
          </cell>
          <cell r="BP46">
            <v>0</v>
          </cell>
          <cell r="BQ46" t="e">
            <v>#REF!</v>
          </cell>
          <cell r="BR46">
            <v>0</v>
          </cell>
          <cell r="BS46" t="e">
            <v>#REF!</v>
          </cell>
          <cell r="BT46">
            <v>0</v>
          </cell>
          <cell r="BU46" t="e">
            <v>#REF!</v>
          </cell>
          <cell r="BV46">
            <v>0</v>
          </cell>
        </row>
        <row r="47">
          <cell r="B47" t="str">
            <v>Base Extension</v>
          </cell>
          <cell r="D47">
            <v>0</v>
          </cell>
          <cell r="F47">
            <v>0</v>
          </cell>
          <cell r="H47">
            <v>0</v>
          </cell>
          <cell r="J47">
            <v>0</v>
          </cell>
          <cell r="L47">
            <v>0</v>
          </cell>
          <cell r="N47">
            <v>0</v>
          </cell>
          <cell r="P47">
            <v>0</v>
          </cell>
          <cell r="R47">
            <v>0</v>
          </cell>
          <cell r="T47">
            <v>0</v>
          </cell>
          <cell r="V47">
            <v>0</v>
          </cell>
          <cell r="X47">
            <v>0</v>
          </cell>
          <cell r="Z47">
            <v>0</v>
          </cell>
          <cell r="AB47" t="str">
            <v>NA</v>
          </cell>
          <cell r="AD47" t="str">
            <v>NA</v>
          </cell>
          <cell r="AF47" t="str">
            <v>NA</v>
          </cell>
          <cell r="AH47" t="str">
            <v>NA</v>
          </cell>
          <cell r="AJ47" t="str">
            <v>NA</v>
          </cell>
          <cell r="AL47" t="str">
            <v>NA</v>
          </cell>
          <cell r="AN47">
            <v>0</v>
          </cell>
          <cell r="AP47">
            <v>0</v>
          </cell>
          <cell r="AR47">
            <v>0</v>
          </cell>
          <cell r="AT47">
            <v>0</v>
          </cell>
          <cell r="AV47">
            <v>0</v>
          </cell>
          <cell r="AX47">
            <v>0</v>
          </cell>
          <cell r="AZ47">
            <v>0</v>
          </cell>
          <cell r="BB47">
            <v>0</v>
          </cell>
          <cell r="BD47">
            <v>0</v>
          </cell>
          <cell r="BF47">
            <v>0</v>
          </cell>
          <cell r="BH47">
            <v>0</v>
          </cell>
          <cell r="BJ47">
            <v>0</v>
          </cell>
          <cell r="BL47">
            <v>0</v>
          </cell>
          <cell r="BM47" t="e">
            <v>#REF!</v>
          </cell>
          <cell r="BN47">
            <v>0</v>
          </cell>
          <cell r="BO47" t="e">
            <v>#REF!</v>
          </cell>
          <cell r="BP47">
            <v>0</v>
          </cell>
          <cell r="BQ47" t="e">
            <v>#REF!</v>
          </cell>
          <cell r="BR47">
            <v>0</v>
          </cell>
          <cell r="BS47" t="e">
            <v>#REF!</v>
          </cell>
          <cell r="BT47">
            <v>0</v>
          </cell>
          <cell r="BU47" t="e">
            <v>#REF!</v>
          </cell>
          <cell r="BV47">
            <v>0</v>
          </cell>
        </row>
        <row r="48">
          <cell r="B48" t="str">
            <v>Base Recompete (No RFP Req'd)</v>
          </cell>
          <cell r="D48">
            <v>0</v>
          </cell>
          <cell r="F48">
            <v>0</v>
          </cell>
          <cell r="H48">
            <v>0</v>
          </cell>
          <cell r="J48">
            <v>0</v>
          </cell>
          <cell r="L48">
            <v>0</v>
          </cell>
          <cell r="N48">
            <v>0</v>
          </cell>
          <cell r="AZ48">
            <v>0</v>
          </cell>
          <cell r="BB48">
            <v>0</v>
          </cell>
          <cell r="BD48">
            <v>0</v>
          </cell>
          <cell r="BF48">
            <v>0</v>
          </cell>
          <cell r="BH48">
            <v>0</v>
          </cell>
          <cell r="BJ48">
            <v>0</v>
          </cell>
        </row>
        <row r="49">
          <cell r="B49" t="str">
            <v>Base Recompete (Open RFP Req'd)</v>
          </cell>
          <cell r="D49">
            <v>0</v>
          </cell>
          <cell r="F49">
            <v>0</v>
          </cell>
          <cell r="H49">
            <v>0</v>
          </cell>
          <cell r="J49">
            <v>0</v>
          </cell>
          <cell r="L49">
            <v>0</v>
          </cell>
          <cell r="N49">
            <v>0</v>
          </cell>
          <cell r="AZ49">
            <v>0</v>
          </cell>
          <cell r="BB49">
            <v>0</v>
          </cell>
          <cell r="BD49">
            <v>0</v>
          </cell>
          <cell r="BF49">
            <v>0</v>
          </cell>
          <cell r="BH49">
            <v>0</v>
          </cell>
          <cell r="BJ49">
            <v>0</v>
          </cell>
        </row>
        <row r="50">
          <cell r="B50" t="str">
            <v>Waco / ETX at Risk</v>
          </cell>
          <cell r="D50">
            <v>1</v>
          </cell>
          <cell r="F50">
            <v>1</v>
          </cell>
          <cell r="H50">
            <v>1</v>
          </cell>
          <cell r="J50">
            <v>1</v>
          </cell>
          <cell r="L50">
            <v>1</v>
          </cell>
          <cell r="N50">
            <v>1</v>
          </cell>
          <cell r="AZ50">
            <v>1.1578812525274307</v>
          </cell>
          <cell r="BB50">
            <v>0.94986981873730958</v>
          </cell>
          <cell r="BD50">
            <v>0</v>
          </cell>
          <cell r="BF50">
            <v>0</v>
          </cell>
          <cell r="BH50">
            <v>0</v>
          </cell>
          <cell r="BJ50">
            <v>0</v>
          </cell>
        </row>
        <row r="51">
          <cell r="B51" t="str">
            <v>CA Expected Loss</v>
          </cell>
          <cell r="D51">
            <v>0</v>
          </cell>
          <cell r="F51">
            <v>0</v>
          </cell>
          <cell r="H51">
            <v>0</v>
          </cell>
          <cell r="J51">
            <v>0</v>
          </cell>
          <cell r="L51">
            <v>0</v>
          </cell>
          <cell r="N51">
            <v>0</v>
          </cell>
          <cell r="AZ51">
            <v>0</v>
          </cell>
          <cell r="BB51">
            <v>0</v>
          </cell>
          <cell r="BD51">
            <v>0</v>
          </cell>
          <cell r="BF51">
            <v>0</v>
          </cell>
          <cell r="BH51">
            <v>0</v>
          </cell>
          <cell r="BJ51">
            <v>0</v>
          </cell>
        </row>
        <row r="52">
          <cell r="B52" t="str">
            <v>Acquisitions / RPFs</v>
          </cell>
          <cell r="D52">
            <v>0</v>
          </cell>
          <cell r="F52">
            <v>0</v>
          </cell>
          <cell r="H52">
            <v>0</v>
          </cell>
          <cell r="J52">
            <v>0</v>
          </cell>
          <cell r="L52">
            <v>0</v>
          </cell>
          <cell r="N52">
            <v>0</v>
          </cell>
          <cell r="P52">
            <v>0</v>
          </cell>
          <cell r="R52">
            <v>0</v>
          </cell>
          <cell r="T52">
            <v>0</v>
          </cell>
          <cell r="V52">
            <v>0</v>
          </cell>
          <cell r="X52">
            <v>0</v>
          </cell>
          <cell r="Z52">
            <v>0</v>
          </cell>
          <cell r="AB52" t="str">
            <v>NA</v>
          </cell>
          <cell r="AD52" t="str">
            <v>NA</v>
          </cell>
          <cell r="AF52" t="str">
            <v>NA</v>
          </cell>
          <cell r="AH52" t="str">
            <v>NA</v>
          </cell>
          <cell r="AJ52" t="str">
            <v>NA</v>
          </cell>
          <cell r="AL52" t="str">
            <v>NA</v>
          </cell>
          <cell r="AN52">
            <v>0</v>
          </cell>
          <cell r="AP52">
            <v>0</v>
          </cell>
          <cell r="AR52">
            <v>0</v>
          </cell>
          <cell r="AT52">
            <v>0</v>
          </cell>
          <cell r="AV52">
            <v>0</v>
          </cell>
          <cell r="AX52">
            <v>0</v>
          </cell>
          <cell r="AZ52">
            <v>0</v>
          </cell>
          <cell r="BB52">
            <v>0</v>
          </cell>
          <cell r="BD52">
            <v>0</v>
          </cell>
          <cell r="BF52">
            <v>0</v>
          </cell>
          <cell r="BH52">
            <v>0</v>
          </cell>
          <cell r="BJ52">
            <v>0</v>
          </cell>
          <cell r="BL52">
            <v>0</v>
          </cell>
          <cell r="BM52" t="e">
            <v>#REF!</v>
          </cell>
          <cell r="BN52">
            <v>0</v>
          </cell>
          <cell r="BO52" t="e">
            <v>#REF!</v>
          </cell>
          <cell r="BP52">
            <v>0</v>
          </cell>
          <cell r="BQ52" t="e">
            <v>#REF!</v>
          </cell>
          <cell r="BR52">
            <v>0</v>
          </cell>
          <cell r="BS52" t="e">
            <v>#REF!</v>
          </cell>
          <cell r="BT52">
            <v>0</v>
          </cell>
          <cell r="BU52" t="e">
            <v>#REF!</v>
          </cell>
          <cell r="BV52">
            <v>0</v>
          </cell>
        </row>
        <row r="53">
          <cell r="B53" t="str">
            <v xml:space="preserve">Total </v>
          </cell>
          <cell r="D53">
            <v>1</v>
          </cell>
          <cell r="F53">
            <v>1</v>
          </cell>
          <cell r="H53">
            <v>1</v>
          </cell>
          <cell r="J53">
            <v>1</v>
          </cell>
          <cell r="L53">
            <v>1</v>
          </cell>
          <cell r="N53">
            <v>1</v>
          </cell>
          <cell r="P53">
            <v>23311</v>
          </cell>
          <cell r="R53">
            <v>17832.915000000001</v>
          </cell>
          <cell r="T53">
            <v>0</v>
          </cell>
          <cell r="V53">
            <v>0</v>
          </cell>
          <cell r="X53">
            <v>0</v>
          </cell>
          <cell r="Z53">
            <v>0</v>
          </cell>
          <cell r="AB53">
            <v>334.70876880861192</v>
          </cell>
          <cell r="AD53">
            <v>338.60000573853529</v>
          </cell>
          <cell r="AF53" t="str">
            <v>NA</v>
          </cell>
          <cell r="AH53" t="str">
            <v>NA</v>
          </cell>
          <cell r="AJ53" t="str">
            <v>NA</v>
          </cell>
          <cell r="AL53" t="str">
            <v>NA</v>
          </cell>
          <cell r="AN53">
            <v>7.8023961096975523</v>
          </cell>
          <cell r="AP53">
            <v>6.038225121334813</v>
          </cell>
          <cell r="AR53">
            <v>0</v>
          </cell>
          <cell r="AT53">
            <v>0</v>
          </cell>
          <cell r="AV53">
            <v>0</v>
          </cell>
          <cell r="AX53">
            <v>0</v>
          </cell>
          <cell r="AZ53">
            <v>1.1578812525274307</v>
          </cell>
          <cell r="BB53">
            <v>0.94986981873730958</v>
          </cell>
          <cell r="BD53">
            <v>0</v>
          </cell>
          <cell r="BF53">
            <v>0</v>
          </cell>
          <cell r="BH53">
            <v>0</v>
          </cell>
          <cell r="BJ53">
            <v>0</v>
          </cell>
          <cell r="BL53">
            <v>0.4</v>
          </cell>
          <cell r="BM53" t="e">
            <v>#REF!</v>
          </cell>
          <cell r="BN53">
            <v>0</v>
          </cell>
          <cell r="BO53" t="e">
            <v>#REF!</v>
          </cell>
          <cell r="BP53">
            <v>0</v>
          </cell>
          <cell r="BQ53" t="e">
            <v>#REF!</v>
          </cell>
          <cell r="BR53">
            <v>0</v>
          </cell>
          <cell r="BS53" t="e">
            <v>#REF!</v>
          </cell>
          <cell r="BT53">
            <v>0</v>
          </cell>
          <cell r="BU53" t="e">
            <v>#REF!</v>
          </cell>
          <cell r="BV53">
            <v>0</v>
          </cell>
        </row>
        <row r="55">
          <cell r="B55" t="str">
            <v xml:space="preserve">ETX Management: </v>
          </cell>
        </row>
        <row r="56">
          <cell r="B56" t="str">
            <v>Base Solid</v>
          </cell>
          <cell r="D56">
            <v>0</v>
          </cell>
          <cell r="F56">
            <v>0</v>
          </cell>
          <cell r="H56">
            <v>0</v>
          </cell>
          <cell r="J56">
            <v>0</v>
          </cell>
          <cell r="L56">
            <v>0</v>
          </cell>
          <cell r="N56">
            <v>0</v>
          </cell>
          <cell r="P56">
            <v>0</v>
          </cell>
          <cell r="Q56" t="e">
            <v>#REF!</v>
          </cell>
          <cell r="R56">
            <v>0</v>
          </cell>
          <cell r="S56" t="e">
            <v>#REF!</v>
          </cell>
          <cell r="T56">
            <v>0</v>
          </cell>
          <cell r="U56" t="e">
            <v>#REF!</v>
          </cell>
          <cell r="V56">
            <v>0</v>
          </cell>
          <cell r="W56" t="e">
            <v>#REF!</v>
          </cell>
          <cell r="X56">
            <v>0</v>
          </cell>
          <cell r="Y56" t="e">
            <v>#REF!</v>
          </cell>
          <cell r="Z56">
            <v>0</v>
          </cell>
          <cell r="AB56" t="str">
            <v>NA</v>
          </cell>
          <cell r="AD56" t="str">
            <v>NA</v>
          </cell>
          <cell r="AF56" t="str">
            <v>NA</v>
          </cell>
          <cell r="AH56" t="str">
            <v>NA</v>
          </cell>
          <cell r="AJ56" t="str">
            <v>NA</v>
          </cell>
          <cell r="AL56" t="str">
            <v>NA</v>
          </cell>
          <cell r="AZ56">
            <v>0</v>
          </cell>
          <cell r="BB56">
            <v>0</v>
          </cell>
          <cell r="BD56">
            <v>0</v>
          </cell>
          <cell r="BF56">
            <v>0</v>
          </cell>
          <cell r="BH56">
            <v>0</v>
          </cell>
          <cell r="BJ56">
            <v>0</v>
          </cell>
        </row>
        <row r="57">
          <cell r="B57" t="str">
            <v>Base Extension</v>
          </cell>
          <cell r="D57">
            <v>0</v>
          </cell>
          <cell r="F57">
            <v>0</v>
          </cell>
          <cell r="H57">
            <v>0</v>
          </cell>
          <cell r="J57">
            <v>0</v>
          </cell>
          <cell r="L57">
            <v>0</v>
          </cell>
          <cell r="N57">
            <v>0</v>
          </cell>
          <cell r="P57">
            <v>0</v>
          </cell>
          <cell r="Q57" t="e">
            <v>#REF!</v>
          </cell>
          <cell r="R57">
            <v>0</v>
          </cell>
          <cell r="S57" t="e">
            <v>#REF!</v>
          </cell>
          <cell r="T57">
            <v>0</v>
          </cell>
          <cell r="U57" t="e">
            <v>#REF!</v>
          </cell>
          <cell r="V57">
            <v>0</v>
          </cell>
          <cell r="W57" t="e">
            <v>#REF!</v>
          </cell>
          <cell r="X57">
            <v>0</v>
          </cell>
          <cell r="Y57" t="e">
            <v>#REF!</v>
          </cell>
          <cell r="Z57">
            <v>0</v>
          </cell>
          <cell r="AB57" t="str">
            <v>NA</v>
          </cell>
          <cell r="AD57" t="str">
            <v>NA</v>
          </cell>
          <cell r="AF57" t="str">
            <v>NA</v>
          </cell>
          <cell r="AH57" t="str">
            <v>NA</v>
          </cell>
          <cell r="AJ57" t="str">
            <v>NA</v>
          </cell>
          <cell r="AL57" t="str">
            <v>NA</v>
          </cell>
          <cell r="AZ57">
            <v>0</v>
          </cell>
          <cell r="BB57">
            <v>0</v>
          </cell>
          <cell r="BD57">
            <v>0</v>
          </cell>
          <cell r="BF57">
            <v>0</v>
          </cell>
          <cell r="BH57">
            <v>0</v>
          </cell>
          <cell r="BJ57">
            <v>0</v>
          </cell>
        </row>
        <row r="58">
          <cell r="B58" t="str">
            <v>Base Recompete (No RFP Req'd)</v>
          </cell>
          <cell r="D58">
            <v>0</v>
          </cell>
          <cell r="F58">
            <v>0</v>
          </cell>
          <cell r="H58">
            <v>0</v>
          </cell>
          <cell r="J58">
            <v>0</v>
          </cell>
          <cell r="L58">
            <v>0</v>
          </cell>
          <cell r="N58">
            <v>0</v>
          </cell>
          <cell r="P58">
            <v>0</v>
          </cell>
          <cell r="Q58" t="e">
            <v>#REF!</v>
          </cell>
          <cell r="R58">
            <v>0</v>
          </cell>
          <cell r="S58" t="e">
            <v>#REF!</v>
          </cell>
          <cell r="T58">
            <v>0</v>
          </cell>
          <cell r="U58" t="e">
            <v>#REF!</v>
          </cell>
          <cell r="V58">
            <v>0</v>
          </cell>
          <cell r="W58" t="e">
            <v>#REF!</v>
          </cell>
          <cell r="X58">
            <v>0</v>
          </cell>
          <cell r="Y58" t="e">
            <v>#REF!</v>
          </cell>
          <cell r="Z58">
            <v>0</v>
          </cell>
          <cell r="AB58" t="str">
            <v>NA</v>
          </cell>
          <cell r="AD58" t="str">
            <v>NA</v>
          </cell>
          <cell r="AF58" t="str">
            <v>NA</v>
          </cell>
          <cell r="AH58" t="str">
            <v>NA</v>
          </cell>
          <cell r="AJ58" t="str">
            <v>NA</v>
          </cell>
          <cell r="AL58" t="str">
            <v>NA</v>
          </cell>
          <cell r="AZ58">
            <v>0</v>
          </cell>
          <cell r="BB58">
            <v>0</v>
          </cell>
          <cell r="BD58">
            <v>0</v>
          </cell>
          <cell r="BF58">
            <v>0</v>
          </cell>
          <cell r="BH58">
            <v>0</v>
          </cell>
          <cell r="BJ58">
            <v>0</v>
          </cell>
        </row>
        <row r="59">
          <cell r="B59" t="str">
            <v>Base Recompete (Open RFP Req'd)</v>
          </cell>
          <cell r="D59">
            <v>0</v>
          </cell>
          <cell r="F59">
            <v>0</v>
          </cell>
          <cell r="H59">
            <v>0</v>
          </cell>
          <cell r="J59">
            <v>0</v>
          </cell>
          <cell r="L59">
            <v>0</v>
          </cell>
          <cell r="N59">
            <v>0</v>
          </cell>
          <cell r="AZ59">
            <v>0</v>
          </cell>
          <cell r="BB59">
            <v>0</v>
          </cell>
          <cell r="BD59">
            <v>0</v>
          </cell>
          <cell r="BF59">
            <v>0</v>
          </cell>
          <cell r="BH59">
            <v>0</v>
          </cell>
          <cell r="BJ59">
            <v>0</v>
          </cell>
        </row>
        <row r="60">
          <cell r="B60" t="str">
            <v>Waco / ETX at Risk</v>
          </cell>
          <cell r="D60">
            <v>1</v>
          </cell>
          <cell r="F60">
            <v>1</v>
          </cell>
          <cell r="H60">
            <v>1</v>
          </cell>
          <cell r="J60">
            <v>1</v>
          </cell>
          <cell r="L60">
            <v>1</v>
          </cell>
          <cell r="N60">
            <v>1</v>
          </cell>
          <cell r="AZ60">
            <v>0.74270238283992851</v>
          </cell>
          <cell r="BB60">
            <v>0.75755643049672705</v>
          </cell>
          <cell r="BD60">
            <v>0.77270755910666167</v>
          </cell>
          <cell r="BF60">
            <v>0.78816171028879489</v>
          </cell>
          <cell r="BH60">
            <v>0.80392494449457086</v>
          </cell>
          <cell r="BJ60">
            <v>0.82000344338446218</v>
          </cell>
        </row>
        <row r="61">
          <cell r="B61" t="str">
            <v>CA Expected Loss</v>
          </cell>
          <cell r="D61">
            <v>0</v>
          </cell>
          <cell r="F61">
            <v>0</v>
          </cell>
          <cell r="H61">
            <v>0</v>
          </cell>
          <cell r="J61">
            <v>0</v>
          </cell>
          <cell r="L61">
            <v>0</v>
          </cell>
          <cell r="N61">
            <v>0</v>
          </cell>
          <cell r="AZ61">
            <v>0</v>
          </cell>
          <cell r="BB61">
            <v>0</v>
          </cell>
          <cell r="BD61">
            <v>0</v>
          </cell>
          <cell r="BF61">
            <v>0</v>
          </cell>
          <cell r="BH61">
            <v>0</v>
          </cell>
          <cell r="BJ61">
            <v>0</v>
          </cell>
        </row>
        <row r="62">
          <cell r="B62" t="str">
            <v>Acquisitions / RPFs</v>
          </cell>
          <cell r="D62">
            <v>0</v>
          </cell>
          <cell r="F62">
            <v>0</v>
          </cell>
          <cell r="H62">
            <v>0</v>
          </cell>
          <cell r="J62">
            <v>0</v>
          </cell>
          <cell r="L62">
            <v>0</v>
          </cell>
          <cell r="N62">
            <v>0</v>
          </cell>
          <cell r="AZ62">
            <v>0</v>
          </cell>
          <cell r="BB62">
            <v>0</v>
          </cell>
          <cell r="BD62">
            <v>0</v>
          </cell>
          <cell r="BF62">
            <v>0</v>
          </cell>
          <cell r="BH62">
            <v>0</v>
          </cell>
          <cell r="BJ62">
            <v>0</v>
          </cell>
        </row>
        <row r="63">
          <cell r="B63" t="str">
            <v xml:space="preserve">Total </v>
          </cell>
          <cell r="D63">
            <v>1</v>
          </cell>
          <cell r="F63">
            <v>1</v>
          </cell>
          <cell r="H63">
            <v>1</v>
          </cell>
          <cell r="J63">
            <v>1</v>
          </cell>
          <cell r="L63">
            <v>1</v>
          </cell>
          <cell r="N63">
            <v>1</v>
          </cell>
          <cell r="P63">
            <v>49.190912970000007</v>
          </cell>
          <cell r="Q63" t="e">
            <v>#REF!</v>
          </cell>
          <cell r="R63">
            <v>50.763240026861247</v>
          </cell>
          <cell r="S63" t="e">
            <v>#REF!</v>
          </cell>
          <cell r="T63">
            <v>52.383681345746155</v>
          </cell>
          <cell r="U63" t="e">
            <v>#REF!</v>
          </cell>
          <cell r="V63">
            <v>54.057090840242097</v>
          </cell>
          <cell r="W63" t="e">
            <v>#REF!</v>
          </cell>
          <cell r="X63">
            <v>55.785199907589387</v>
          </cell>
          <cell r="Y63" t="e">
            <v>#REF!</v>
          </cell>
          <cell r="Z63">
            <v>57.569796540075593</v>
          </cell>
          <cell r="AB63">
            <v>0</v>
          </cell>
          <cell r="AD63">
            <v>0</v>
          </cell>
          <cell r="AF63">
            <v>0</v>
          </cell>
          <cell r="AH63">
            <v>0</v>
          </cell>
          <cell r="AJ63">
            <v>0</v>
          </cell>
          <cell r="AL63">
            <v>0</v>
          </cell>
          <cell r="AZ63">
            <v>0.74270238283992851</v>
          </cell>
          <cell r="BB63">
            <v>0.75755643049672705</v>
          </cell>
          <cell r="BD63">
            <v>0.77270755910666167</v>
          </cell>
          <cell r="BF63">
            <v>0.78816171028879489</v>
          </cell>
          <cell r="BH63">
            <v>0.80392494449457086</v>
          </cell>
          <cell r="BJ63">
            <v>0.82000344338446218</v>
          </cell>
        </row>
        <row r="65">
          <cell r="B65" t="str">
            <v>California:</v>
          </cell>
        </row>
        <row r="66">
          <cell r="B66" t="str">
            <v>Base Solid</v>
          </cell>
          <cell r="D66">
            <v>0</v>
          </cell>
          <cell r="F66">
            <v>0</v>
          </cell>
          <cell r="H66">
            <v>0</v>
          </cell>
          <cell r="J66">
            <v>0</v>
          </cell>
          <cell r="L66">
            <v>0</v>
          </cell>
          <cell r="N66">
            <v>0</v>
          </cell>
          <cell r="P66">
            <v>0</v>
          </cell>
          <cell r="Q66">
            <v>0</v>
          </cell>
          <cell r="R66">
            <v>0</v>
          </cell>
          <cell r="S66">
            <v>0</v>
          </cell>
          <cell r="T66">
            <v>0</v>
          </cell>
          <cell r="U66">
            <v>0</v>
          </cell>
          <cell r="V66">
            <v>0</v>
          </cell>
          <cell r="W66">
            <v>0</v>
          </cell>
          <cell r="X66">
            <v>0</v>
          </cell>
          <cell r="Y66">
            <v>0</v>
          </cell>
          <cell r="Z66">
            <v>0</v>
          </cell>
          <cell r="AB66" t="str">
            <v>NA</v>
          </cell>
          <cell r="AD66" t="str">
            <v>NA</v>
          </cell>
          <cell r="AF66" t="str">
            <v>NA</v>
          </cell>
          <cell r="AH66" t="str">
            <v>NA</v>
          </cell>
          <cell r="AJ66" t="str">
            <v>NA</v>
          </cell>
          <cell r="AL66" t="str">
            <v>NA</v>
          </cell>
          <cell r="AN66">
            <v>0</v>
          </cell>
          <cell r="AO66">
            <v>0</v>
          </cell>
          <cell r="AP66">
            <v>0</v>
          </cell>
          <cell r="AQ66">
            <v>0</v>
          </cell>
          <cell r="AR66">
            <v>0</v>
          </cell>
          <cell r="AS66">
            <v>0</v>
          </cell>
          <cell r="AT66">
            <v>0</v>
          </cell>
          <cell r="AU66">
            <v>0</v>
          </cell>
          <cell r="AV66">
            <v>0</v>
          </cell>
          <cell r="AW66">
            <v>0</v>
          </cell>
          <cell r="AX66">
            <v>0</v>
          </cell>
          <cell r="AZ66">
            <v>0</v>
          </cell>
          <cell r="BB66">
            <v>0</v>
          </cell>
          <cell r="BD66">
            <v>0</v>
          </cell>
          <cell r="BF66">
            <v>0</v>
          </cell>
          <cell r="BH66">
            <v>0</v>
          </cell>
          <cell r="BJ66">
            <v>0</v>
          </cell>
          <cell r="BL66">
            <v>0</v>
          </cell>
          <cell r="BM66" t="e">
            <v>#REF!</v>
          </cell>
          <cell r="BN66">
            <v>0</v>
          </cell>
          <cell r="BO66" t="e">
            <v>#REF!</v>
          </cell>
          <cell r="BP66">
            <v>0</v>
          </cell>
          <cell r="BQ66" t="e">
            <v>#REF!</v>
          </cell>
          <cell r="BR66">
            <v>0</v>
          </cell>
          <cell r="BS66" t="e">
            <v>#REF!</v>
          </cell>
          <cell r="BT66">
            <v>0</v>
          </cell>
          <cell r="BU66" t="e">
            <v>#REF!</v>
          </cell>
          <cell r="BV66">
            <v>0</v>
          </cell>
        </row>
        <row r="67">
          <cell r="B67" t="str">
            <v>Base Extension</v>
          </cell>
          <cell r="D67">
            <v>0</v>
          </cell>
          <cell r="F67">
            <v>0</v>
          </cell>
          <cell r="H67">
            <v>0</v>
          </cell>
          <cell r="J67">
            <v>0</v>
          </cell>
          <cell r="L67">
            <v>0</v>
          </cell>
          <cell r="N67">
            <v>0</v>
          </cell>
          <cell r="P67">
            <v>0</v>
          </cell>
          <cell r="Q67">
            <v>0</v>
          </cell>
          <cell r="R67">
            <v>0</v>
          </cell>
          <cell r="S67">
            <v>0</v>
          </cell>
          <cell r="T67">
            <v>0</v>
          </cell>
          <cell r="U67">
            <v>0</v>
          </cell>
          <cell r="V67">
            <v>0</v>
          </cell>
          <cell r="W67">
            <v>0</v>
          </cell>
          <cell r="X67">
            <v>0</v>
          </cell>
          <cell r="Y67">
            <v>0</v>
          </cell>
          <cell r="Z67">
            <v>0</v>
          </cell>
          <cell r="AB67" t="str">
            <v>NA</v>
          </cell>
          <cell r="AD67" t="str">
            <v>NA</v>
          </cell>
          <cell r="AF67" t="str">
            <v>NA</v>
          </cell>
          <cell r="AH67" t="str">
            <v>NA</v>
          </cell>
          <cell r="AJ67" t="str">
            <v>NA</v>
          </cell>
          <cell r="AL67" t="str">
            <v>NA</v>
          </cell>
          <cell r="AN67">
            <v>0</v>
          </cell>
          <cell r="AO67">
            <v>0</v>
          </cell>
          <cell r="AP67">
            <v>0</v>
          </cell>
          <cell r="AQ67">
            <v>0</v>
          </cell>
          <cell r="AR67">
            <v>0</v>
          </cell>
          <cell r="AS67">
            <v>0</v>
          </cell>
          <cell r="AT67">
            <v>0</v>
          </cell>
          <cell r="AU67">
            <v>0</v>
          </cell>
          <cell r="AV67">
            <v>0</v>
          </cell>
          <cell r="AW67">
            <v>0</v>
          </cell>
          <cell r="AX67">
            <v>0</v>
          </cell>
          <cell r="AZ67">
            <v>0</v>
          </cell>
          <cell r="BB67">
            <v>0</v>
          </cell>
          <cell r="BD67">
            <v>0</v>
          </cell>
          <cell r="BF67">
            <v>0</v>
          </cell>
          <cell r="BH67">
            <v>0</v>
          </cell>
          <cell r="BJ67">
            <v>0</v>
          </cell>
        </row>
        <row r="68">
          <cell r="B68" t="str">
            <v>Base Recompete (No RFP Req'd)</v>
          </cell>
          <cell r="D68">
            <v>0</v>
          </cell>
          <cell r="F68">
            <v>0</v>
          </cell>
          <cell r="H68">
            <v>0</v>
          </cell>
          <cell r="J68">
            <v>0</v>
          </cell>
          <cell r="L68">
            <v>0</v>
          </cell>
          <cell r="N68">
            <v>0</v>
          </cell>
          <cell r="P68">
            <v>0</v>
          </cell>
          <cell r="Q68">
            <v>0</v>
          </cell>
          <cell r="R68">
            <v>0</v>
          </cell>
          <cell r="S68">
            <v>0</v>
          </cell>
          <cell r="T68">
            <v>0</v>
          </cell>
          <cell r="U68">
            <v>0</v>
          </cell>
          <cell r="V68">
            <v>0</v>
          </cell>
          <cell r="W68">
            <v>0</v>
          </cell>
          <cell r="X68">
            <v>0</v>
          </cell>
          <cell r="Y68">
            <v>0</v>
          </cell>
          <cell r="Z68">
            <v>0</v>
          </cell>
          <cell r="AB68" t="str">
            <v>NA</v>
          </cell>
          <cell r="AD68" t="str">
            <v>NA</v>
          </cell>
          <cell r="AF68" t="str">
            <v>NA</v>
          </cell>
          <cell r="AH68" t="str">
            <v>NA</v>
          </cell>
          <cell r="AJ68" t="str">
            <v>NA</v>
          </cell>
          <cell r="AL68" t="str">
            <v>NA</v>
          </cell>
          <cell r="AN68">
            <v>0</v>
          </cell>
          <cell r="AO68">
            <v>0</v>
          </cell>
          <cell r="AP68">
            <v>0</v>
          </cell>
          <cell r="AQ68">
            <v>0</v>
          </cell>
          <cell r="AR68">
            <v>0</v>
          </cell>
          <cell r="AS68">
            <v>0</v>
          </cell>
          <cell r="AT68">
            <v>0</v>
          </cell>
          <cell r="AU68">
            <v>0</v>
          </cell>
          <cell r="AV68">
            <v>0</v>
          </cell>
          <cell r="AW68">
            <v>0</v>
          </cell>
          <cell r="AX68">
            <v>0</v>
          </cell>
          <cell r="AZ68">
            <v>0</v>
          </cell>
          <cell r="BB68">
            <v>0</v>
          </cell>
          <cell r="BD68">
            <v>0</v>
          </cell>
          <cell r="BF68">
            <v>0</v>
          </cell>
          <cell r="BH68">
            <v>0</v>
          </cell>
          <cell r="BJ68">
            <v>0</v>
          </cell>
        </row>
        <row r="69">
          <cell r="B69" t="str">
            <v>Base Recompete (Open RFP Req'd)</v>
          </cell>
          <cell r="D69">
            <v>0</v>
          </cell>
          <cell r="F69">
            <v>0</v>
          </cell>
          <cell r="H69">
            <v>0</v>
          </cell>
          <cell r="J69">
            <v>0</v>
          </cell>
          <cell r="L69">
            <v>0</v>
          </cell>
          <cell r="N69">
            <v>0</v>
          </cell>
          <cell r="P69">
            <v>0</v>
          </cell>
          <cell r="Q69">
            <v>0</v>
          </cell>
          <cell r="R69">
            <v>0</v>
          </cell>
          <cell r="S69">
            <v>0</v>
          </cell>
          <cell r="T69">
            <v>0</v>
          </cell>
          <cell r="U69">
            <v>0</v>
          </cell>
          <cell r="V69">
            <v>0</v>
          </cell>
          <cell r="W69">
            <v>0</v>
          </cell>
          <cell r="X69">
            <v>0</v>
          </cell>
          <cell r="Y69">
            <v>0</v>
          </cell>
          <cell r="Z69">
            <v>0</v>
          </cell>
          <cell r="AB69" t="str">
            <v>NA</v>
          </cell>
          <cell r="AD69" t="str">
            <v>NA</v>
          </cell>
          <cell r="AF69" t="str">
            <v>NA</v>
          </cell>
          <cell r="AH69" t="str">
            <v>NA</v>
          </cell>
          <cell r="AJ69" t="str">
            <v>NA</v>
          </cell>
          <cell r="AL69" t="str">
            <v>NA</v>
          </cell>
          <cell r="AN69">
            <v>0</v>
          </cell>
          <cell r="AO69">
            <v>0</v>
          </cell>
          <cell r="AP69">
            <v>0</v>
          </cell>
          <cell r="AQ69">
            <v>0</v>
          </cell>
          <cell r="AR69">
            <v>0</v>
          </cell>
          <cell r="AS69">
            <v>0</v>
          </cell>
          <cell r="AT69">
            <v>0</v>
          </cell>
          <cell r="AU69">
            <v>0</v>
          </cell>
          <cell r="AV69">
            <v>0</v>
          </cell>
          <cell r="AW69">
            <v>0</v>
          </cell>
          <cell r="AX69">
            <v>0</v>
          </cell>
          <cell r="AZ69">
            <v>0</v>
          </cell>
          <cell r="BB69">
            <v>0</v>
          </cell>
          <cell r="BD69">
            <v>0</v>
          </cell>
          <cell r="BF69">
            <v>0</v>
          </cell>
          <cell r="BH69">
            <v>0</v>
          </cell>
          <cell r="BJ69">
            <v>0</v>
          </cell>
        </row>
        <row r="70">
          <cell r="B70" t="str">
            <v>Waco / ETX at Risk</v>
          </cell>
          <cell r="D70">
            <v>0</v>
          </cell>
          <cell r="F70">
            <v>0</v>
          </cell>
          <cell r="H70">
            <v>0</v>
          </cell>
          <cell r="J70">
            <v>0</v>
          </cell>
          <cell r="L70">
            <v>0</v>
          </cell>
          <cell r="N70">
            <v>0</v>
          </cell>
          <cell r="P70">
            <v>0</v>
          </cell>
          <cell r="Q70">
            <v>0</v>
          </cell>
          <cell r="R70">
            <v>0</v>
          </cell>
          <cell r="S70">
            <v>0</v>
          </cell>
          <cell r="T70">
            <v>0</v>
          </cell>
          <cell r="U70">
            <v>0</v>
          </cell>
          <cell r="V70">
            <v>0</v>
          </cell>
          <cell r="W70">
            <v>0</v>
          </cell>
          <cell r="X70">
            <v>0</v>
          </cell>
          <cell r="Y70">
            <v>0</v>
          </cell>
          <cell r="Z70">
            <v>0</v>
          </cell>
          <cell r="AB70" t="str">
            <v>NA</v>
          </cell>
          <cell r="AD70" t="str">
            <v>NA</v>
          </cell>
          <cell r="AF70" t="str">
            <v>NA</v>
          </cell>
          <cell r="AH70" t="str">
            <v>NA</v>
          </cell>
          <cell r="AJ70" t="str">
            <v>NA</v>
          </cell>
          <cell r="AL70" t="str">
            <v>NA</v>
          </cell>
          <cell r="AN70">
            <v>0</v>
          </cell>
          <cell r="AO70">
            <v>0</v>
          </cell>
          <cell r="AP70">
            <v>0</v>
          </cell>
          <cell r="AQ70">
            <v>0</v>
          </cell>
          <cell r="AR70">
            <v>0</v>
          </cell>
          <cell r="AS70">
            <v>0</v>
          </cell>
          <cell r="AT70">
            <v>0</v>
          </cell>
          <cell r="AU70">
            <v>0</v>
          </cell>
          <cell r="AV70">
            <v>0</v>
          </cell>
          <cell r="AW70">
            <v>0</v>
          </cell>
          <cell r="AX70">
            <v>0</v>
          </cell>
          <cell r="AZ70">
            <v>0</v>
          </cell>
          <cell r="BB70">
            <v>0</v>
          </cell>
          <cell r="BD70">
            <v>0</v>
          </cell>
          <cell r="BF70">
            <v>0</v>
          </cell>
          <cell r="BH70">
            <v>0</v>
          </cell>
          <cell r="BJ70">
            <v>0</v>
          </cell>
        </row>
        <row r="71">
          <cell r="B71" t="str">
            <v>CA Expected Loss</v>
          </cell>
          <cell r="D71">
            <v>1</v>
          </cell>
          <cell r="F71">
            <v>1</v>
          </cell>
          <cell r="H71">
            <v>1</v>
          </cell>
          <cell r="J71">
            <v>1</v>
          </cell>
          <cell r="L71">
            <v>1</v>
          </cell>
          <cell r="N71">
            <v>1</v>
          </cell>
          <cell r="P71">
            <v>102489</v>
          </cell>
          <cell r="Q71">
            <v>0</v>
          </cell>
          <cell r="R71">
            <v>103770.11249999999</v>
          </cell>
          <cell r="S71">
            <v>0</v>
          </cell>
          <cell r="T71">
            <v>105067.23890624999</v>
          </cell>
          <cell r="U71">
            <v>0</v>
          </cell>
          <cell r="V71">
            <v>106380.5793925781</v>
          </cell>
          <cell r="W71">
            <v>0</v>
          </cell>
          <cell r="X71">
            <v>107710.33663498533</v>
          </cell>
          <cell r="Y71">
            <v>0</v>
          </cell>
          <cell r="Z71">
            <v>109056.71584292264</v>
          </cell>
          <cell r="AB71">
            <v>599.36060093339051</v>
          </cell>
          <cell r="AD71">
            <v>599.89733711767838</v>
          </cell>
          <cell r="AF71">
            <v>601.18712595520799</v>
          </cell>
          <cell r="AH71">
            <v>602.4827312957608</v>
          </cell>
          <cell r="AJ71">
            <v>603.78413568021222</v>
          </cell>
          <cell r="AL71">
            <v>605.09132200085685</v>
          </cell>
          <cell r="AN71">
            <v>61.427868629062267</v>
          </cell>
          <cell r="AO71">
            <v>0</v>
          </cell>
          <cell r="AP71">
            <v>62.251414161151899</v>
          </cell>
          <cell r="AQ71">
            <v>0</v>
          </cell>
          <cell r="AR71">
            <v>63.165071390097644</v>
          </cell>
          <cell r="AS71">
            <v>0</v>
          </cell>
          <cell r="AT71">
            <v>64.092462029265988</v>
          </cell>
          <cell r="AU71">
            <v>0</v>
          </cell>
          <cell r="AV71">
            <v>65.033792508979317</v>
          </cell>
          <cell r="AW71">
            <v>0</v>
          </cell>
          <cell r="AX71">
            <v>65.989272362465854</v>
          </cell>
          <cell r="AZ71">
            <v>4.5704030117906438</v>
          </cell>
          <cell r="BB71">
            <v>4.9519365511576323</v>
          </cell>
          <cell r="BD71">
            <v>5.0854264445740842</v>
          </cell>
          <cell r="BF71">
            <v>5.2212614102119765</v>
          </cell>
          <cell r="BH71">
            <v>5.3594788133897309</v>
          </cell>
          <cell r="BJ71">
            <v>5.5001165942979569</v>
          </cell>
        </row>
        <row r="72">
          <cell r="B72" t="str">
            <v>Acquisitions / RPFs</v>
          </cell>
          <cell r="D72">
            <v>0</v>
          </cell>
          <cell r="F72">
            <v>0</v>
          </cell>
          <cell r="H72">
            <v>0</v>
          </cell>
          <cell r="J72">
            <v>0</v>
          </cell>
          <cell r="L72">
            <v>0</v>
          </cell>
          <cell r="N72">
            <v>0</v>
          </cell>
          <cell r="P72">
            <v>0</v>
          </cell>
          <cell r="Q72">
            <v>0</v>
          </cell>
          <cell r="R72">
            <v>0</v>
          </cell>
          <cell r="S72">
            <v>0</v>
          </cell>
          <cell r="T72">
            <v>0</v>
          </cell>
          <cell r="U72">
            <v>0</v>
          </cell>
          <cell r="V72">
            <v>0</v>
          </cell>
          <cell r="W72">
            <v>0</v>
          </cell>
          <cell r="X72">
            <v>0</v>
          </cell>
          <cell r="Y72">
            <v>0</v>
          </cell>
          <cell r="Z72">
            <v>0</v>
          </cell>
          <cell r="AB72" t="str">
            <v>NA</v>
          </cell>
          <cell r="AD72" t="str">
            <v>NA</v>
          </cell>
          <cell r="AF72" t="str">
            <v>NA</v>
          </cell>
          <cell r="AH72" t="str">
            <v>NA</v>
          </cell>
          <cell r="AJ72" t="str">
            <v>NA</v>
          </cell>
          <cell r="AL72" t="str">
            <v>NA</v>
          </cell>
          <cell r="AN72">
            <v>0</v>
          </cell>
          <cell r="AO72">
            <v>0</v>
          </cell>
          <cell r="AP72">
            <v>0</v>
          </cell>
          <cell r="AQ72">
            <v>0</v>
          </cell>
          <cell r="AR72">
            <v>0</v>
          </cell>
          <cell r="AS72">
            <v>0</v>
          </cell>
          <cell r="AT72">
            <v>0</v>
          </cell>
          <cell r="AU72">
            <v>0</v>
          </cell>
          <cell r="AV72">
            <v>0</v>
          </cell>
          <cell r="AW72">
            <v>0</v>
          </cell>
          <cell r="AX72">
            <v>0</v>
          </cell>
          <cell r="AZ72">
            <v>0</v>
          </cell>
          <cell r="BB72">
            <v>0</v>
          </cell>
          <cell r="BD72">
            <v>0</v>
          </cell>
          <cell r="BF72">
            <v>0</v>
          </cell>
          <cell r="BH72">
            <v>0</v>
          </cell>
          <cell r="BJ72">
            <v>0</v>
          </cell>
        </row>
        <row r="73">
          <cell r="B73" t="str">
            <v xml:space="preserve">Total </v>
          </cell>
          <cell r="D73">
            <v>1</v>
          </cell>
          <cell r="F73">
            <v>1</v>
          </cell>
          <cell r="H73">
            <v>1</v>
          </cell>
          <cell r="J73">
            <v>1</v>
          </cell>
          <cell r="L73">
            <v>1</v>
          </cell>
          <cell r="N73">
            <v>1</v>
          </cell>
          <cell r="P73">
            <v>102489</v>
          </cell>
          <cell r="R73">
            <v>103770.11249999999</v>
          </cell>
          <cell r="T73">
            <v>105067.23890624999</v>
          </cell>
          <cell r="V73">
            <v>106380.5793925781</v>
          </cell>
          <cell r="X73">
            <v>107710.33663498533</v>
          </cell>
          <cell r="Z73">
            <v>109056.71584292264</v>
          </cell>
          <cell r="AB73">
            <v>599.36060093339051</v>
          </cell>
          <cell r="AD73">
            <v>599.89733711767838</v>
          </cell>
          <cell r="AF73">
            <v>601.18712595520799</v>
          </cell>
          <cell r="AH73">
            <v>602.4827312957608</v>
          </cell>
          <cell r="AJ73">
            <v>603.78413568021222</v>
          </cell>
          <cell r="AL73">
            <v>605.09132200085685</v>
          </cell>
          <cell r="AN73">
            <v>61.427868629062267</v>
          </cell>
          <cell r="AP73">
            <v>62.251414161151899</v>
          </cell>
          <cell r="AR73">
            <v>63.165071390097644</v>
          </cell>
          <cell r="AT73">
            <v>64.092462029265988</v>
          </cell>
          <cell r="AV73">
            <v>65.033792508979317</v>
          </cell>
          <cell r="AX73">
            <v>65.989272362465854</v>
          </cell>
          <cell r="AZ73">
            <v>4.5704030117906438</v>
          </cell>
          <cell r="BB73">
            <v>4.9519365511576323</v>
          </cell>
          <cell r="BD73">
            <v>5.0854264445740842</v>
          </cell>
          <cell r="BF73">
            <v>5.2212614102119765</v>
          </cell>
          <cell r="BH73">
            <v>5.3594788133897309</v>
          </cell>
          <cell r="BJ73">
            <v>5.5001165942979569</v>
          </cell>
          <cell r="BL73">
            <v>1.8464694639999999</v>
          </cell>
          <cell r="BM73" t="e">
            <v>#REF!</v>
          </cell>
          <cell r="BN73">
            <v>1.8460000000000001</v>
          </cell>
          <cell r="BO73" t="e">
            <v>#REF!</v>
          </cell>
          <cell r="BP73">
            <v>8.5359999999999996</v>
          </cell>
          <cell r="BQ73" t="e">
            <v>#REF!</v>
          </cell>
          <cell r="BR73">
            <v>0</v>
          </cell>
          <cell r="BS73" t="e">
            <v>#REF!</v>
          </cell>
          <cell r="BT73">
            <v>0</v>
          </cell>
          <cell r="BU73" t="e">
            <v>#REF!</v>
          </cell>
          <cell r="BV73">
            <v>2.5954999999999999</v>
          </cell>
        </row>
        <row r="75">
          <cell r="B75" t="str">
            <v>TOTAL:</v>
          </cell>
        </row>
        <row r="76">
          <cell r="B76" t="str">
            <v>Base Solid</v>
          </cell>
          <cell r="P76">
            <v>225637</v>
          </cell>
          <cell r="Q76" t="e">
            <v>#REF!</v>
          </cell>
          <cell r="R76">
            <v>231073.27499999999</v>
          </cell>
          <cell r="S76" t="e">
            <v>#REF!</v>
          </cell>
          <cell r="T76">
            <v>236641.36387499995</v>
          </cell>
          <cell r="U76" t="e">
            <v>#REF!</v>
          </cell>
          <cell r="V76">
            <v>169843.82413190621</v>
          </cell>
          <cell r="W76" t="e">
            <v>#REF!</v>
          </cell>
          <cell r="X76">
            <v>0</v>
          </cell>
          <cell r="Y76" t="e">
            <v>#REF!</v>
          </cell>
          <cell r="Z76">
            <v>0</v>
          </cell>
          <cell r="AB76">
            <v>284.96842315868685</v>
          </cell>
          <cell r="AD76">
            <v>286.91334201534499</v>
          </cell>
          <cell r="AF76">
            <v>288.78251027646724</v>
          </cell>
          <cell r="AH76">
            <v>284.40405169521824</v>
          </cell>
          <cell r="AJ76" t="str">
            <v>NA</v>
          </cell>
          <cell r="AL76" t="str">
            <v>NA</v>
          </cell>
          <cell r="AN76">
            <v>64.299420096256625</v>
          </cell>
          <cell r="AO76" t="e">
            <v>#REF!</v>
          </cell>
          <cell r="AP76">
            <v>66.298005580680865</v>
          </cell>
          <cell r="AQ76" t="e">
            <v>#REF!</v>
          </cell>
          <cell r="AR76">
            <v>68.337887095069391</v>
          </cell>
          <cell r="AS76" t="e">
            <v>#REF!</v>
          </cell>
          <cell r="AT76">
            <v>48.304271738524207</v>
          </cell>
          <cell r="AU76" t="e">
            <v>#REF!</v>
          </cell>
          <cell r="AV76">
            <v>0</v>
          </cell>
          <cell r="AW76" t="e">
            <v>#REF!</v>
          </cell>
          <cell r="AX76">
            <v>0</v>
          </cell>
          <cell r="AZ76">
            <v>11.90192733261156</v>
          </cell>
          <cell r="BB76">
            <v>12.451079932313627</v>
          </cell>
          <cell r="BD76">
            <v>12.86873502140741</v>
          </cell>
          <cell r="BF76">
            <v>8.9033727459218248</v>
          </cell>
          <cell r="BH76">
            <v>0</v>
          </cell>
          <cell r="BJ76">
            <v>0</v>
          </cell>
          <cell r="BL76">
            <v>1.9035770000000001</v>
          </cell>
          <cell r="BN76">
            <v>1.9890000000000001</v>
          </cell>
          <cell r="BP76">
            <v>1.7890000000000001</v>
          </cell>
          <cell r="BR76">
            <v>1.1435</v>
          </cell>
          <cell r="BT76">
            <v>0</v>
          </cell>
          <cell r="BV76">
            <v>0</v>
          </cell>
        </row>
        <row r="77">
          <cell r="B77" t="str">
            <v>Base Extension</v>
          </cell>
          <cell r="AZ77">
            <v>0</v>
          </cell>
          <cell r="BB77">
            <v>0</v>
          </cell>
          <cell r="BD77">
            <v>0</v>
          </cell>
          <cell r="BF77">
            <v>3.3336048516207741</v>
          </cell>
          <cell r="BH77">
            <v>12.021111157086834</v>
          </cell>
          <cell r="BJ77">
            <v>12.567039628661686</v>
          </cell>
        </row>
        <row r="78">
          <cell r="B78" t="str">
            <v>Base Recompete (No RFP Req'd)</v>
          </cell>
          <cell r="AZ78">
            <v>0</v>
          </cell>
          <cell r="BB78">
            <v>0</v>
          </cell>
          <cell r="BD78">
            <v>0.15757531914390746</v>
          </cell>
          <cell r="BF78">
            <v>0.64651833819175231</v>
          </cell>
          <cell r="BH78">
            <v>0.66326402877566371</v>
          </cell>
          <cell r="BJ78">
            <v>0.68055474444605923</v>
          </cell>
        </row>
        <row r="79">
          <cell r="B79" t="str">
            <v>Base Recompete (Open RFP Req'd)</v>
          </cell>
          <cell r="AZ79">
            <v>0</v>
          </cell>
          <cell r="BB79">
            <v>0</v>
          </cell>
          <cell r="BD79">
            <v>0</v>
          </cell>
          <cell r="BF79">
            <v>0.7407769656621922</v>
          </cell>
          <cell r="BH79">
            <v>1.5614361926755465</v>
          </cell>
          <cell r="BJ79">
            <v>1.6442054656996352</v>
          </cell>
        </row>
        <row r="80">
          <cell r="B80" t="str">
            <v>Waco / ETX at Risk</v>
          </cell>
          <cell r="AZ80">
            <v>1.9005836353673593</v>
          </cell>
          <cell r="BB80">
            <v>1.7074262492340366</v>
          </cell>
          <cell r="BD80">
            <v>0.77270755910666167</v>
          </cell>
          <cell r="BF80">
            <v>0.78816171028879489</v>
          </cell>
          <cell r="BH80">
            <v>0.80392494449457086</v>
          </cell>
          <cell r="BJ80">
            <v>0.82000344338446218</v>
          </cell>
        </row>
        <row r="81">
          <cell r="B81" t="str">
            <v>P+ Likely to Exit CA Contract</v>
          </cell>
          <cell r="AZ81">
            <v>4.5704030117906438</v>
          </cell>
          <cell r="BB81">
            <v>4.9519365511576323</v>
          </cell>
          <cell r="BD81">
            <v>5.0854264445740842</v>
          </cell>
          <cell r="BF81">
            <v>5.2212614102119765</v>
          </cell>
          <cell r="BH81">
            <v>5.3594788133897309</v>
          </cell>
          <cell r="BJ81">
            <v>5.5001165942979569</v>
          </cell>
        </row>
        <row r="82">
          <cell r="B82" t="str">
            <v>Acquisitions / RPFs</v>
          </cell>
          <cell r="AZ82">
            <v>0</v>
          </cell>
          <cell r="BB82">
            <v>0</v>
          </cell>
          <cell r="BD82">
            <v>0</v>
          </cell>
          <cell r="BF82">
            <v>0</v>
          </cell>
          <cell r="BH82">
            <v>0</v>
          </cell>
          <cell r="BJ82">
            <v>0</v>
          </cell>
        </row>
        <row r="83">
          <cell r="B83" t="str">
            <v xml:space="preserve">Total </v>
          </cell>
          <cell r="P83">
            <v>225637</v>
          </cell>
          <cell r="Q83" t="e">
            <v>#REF!</v>
          </cell>
          <cell r="R83">
            <v>231073.27499999999</v>
          </cell>
          <cell r="S83" t="e">
            <v>#REF!</v>
          </cell>
          <cell r="T83">
            <v>236641.36387499995</v>
          </cell>
          <cell r="U83" t="e">
            <v>#REF!</v>
          </cell>
          <cell r="V83">
            <v>169843.82413190621</v>
          </cell>
          <cell r="W83" t="e">
            <v>#REF!</v>
          </cell>
          <cell r="X83">
            <v>0</v>
          </cell>
          <cell r="Y83" t="e">
            <v>#REF!</v>
          </cell>
          <cell r="Z83">
            <v>0</v>
          </cell>
          <cell r="AB83">
            <v>284.96842315868685</v>
          </cell>
          <cell r="AD83">
            <v>286.91334201534499</v>
          </cell>
          <cell r="AF83">
            <v>288.78251027646724</v>
          </cell>
          <cell r="AH83">
            <v>284.40405169521824</v>
          </cell>
          <cell r="AJ83" t="str">
            <v>NA</v>
          </cell>
          <cell r="AL83" t="str">
            <v>NA</v>
          </cell>
          <cell r="AN83">
            <v>64.299420096256625</v>
          </cell>
          <cell r="AO83" t="e">
            <v>#REF!</v>
          </cell>
          <cell r="AP83">
            <v>66.298005580680865</v>
          </cell>
          <cell r="AQ83" t="e">
            <v>#REF!</v>
          </cell>
          <cell r="AR83">
            <v>68.337887095069391</v>
          </cell>
          <cell r="AS83" t="e">
            <v>#REF!</v>
          </cell>
          <cell r="AT83">
            <v>48.304271738524207</v>
          </cell>
          <cell r="AU83" t="e">
            <v>#REF!</v>
          </cell>
          <cell r="AV83">
            <v>0</v>
          </cell>
          <cell r="AW83" t="e">
            <v>#REF!</v>
          </cell>
          <cell r="AX83">
            <v>0</v>
          </cell>
          <cell r="AZ83">
            <v>18.372913979769564</v>
          </cell>
          <cell r="BB83">
            <v>19.110442732705295</v>
          </cell>
          <cell r="BD83">
            <v>18.884444344232065</v>
          </cell>
          <cell r="BF83">
            <v>19.633696021897315</v>
          </cell>
          <cell r="BH83">
            <v>20.409215136422347</v>
          </cell>
          <cell r="BJ83">
            <v>21.211919876489798</v>
          </cell>
          <cell r="BL83">
            <v>1.9035770000000001</v>
          </cell>
          <cell r="BN83">
            <v>1.9890000000000001</v>
          </cell>
          <cell r="BP83">
            <v>1.7890000000000001</v>
          </cell>
          <cell r="BR83">
            <v>1.1435</v>
          </cell>
          <cell r="BT83">
            <v>0</v>
          </cell>
          <cell r="BV83">
            <v>0</v>
          </cell>
        </row>
        <row r="85">
          <cell r="N85" t="str">
            <v>CORP.</v>
          </cell>
          <cell r="AZ85">
            <v>-6.993878178142225</v>
          </cell>
          <cell r="BB85">
            <v>-6.993878178142225</v>
          </cell>
          <cell r="BD85">
            <v>-6.993878178142225</v>
          </cell>
          <cell r="BF85">
            <v>-6.993878178142225</v>
          </cell>
          <cell r="BH85">
            <v>-6.993878178142225</v>
          </cell>
          <cell r="BJ85">
            <v>-6.993878178142225</v>
          </cell>
        </row>
        <row r="87">
          <cell r="N87" t="str">
            <v>EBITDA</v>
          </cell>
          <cell r="AZ87">
            <v>11.379035801627339</v>
          </cell>
          <cell r="BB87">
            <v>12.11656455456307</v>
          </cell>
          <cell r="BD87">
            <v>11.89056616608984</v>
          </cell>
          <cell r="BF87">
            <v>12.63981784375509</v>
          </cell>
          <cell r="BH87">
            <v>13.415336958280122</v>
          </cell>
          <cell r="BJ87">
            <v>14.218041698347573</v>
          </cell>
        </row>
        <row r="89">
          <cell r="BF89">
            <v>0.45347410574106678</v>
          </cell>
          <cell r="BJ89">
            <v>0.6245353768185169</v>
          </cell>
        </row>
        <row r="103">
          <cell r="B103" t="str">
            <v>INCLUDING ACQ AND RFPS</v>
          </cell>
        </row>
        <row r="106">
          <cell r="B106" t="str">
            <v>TOTAL:</v>
          </cell>
        </row>
        <row r="107">
          <cell r="B107" t="str">
            <v>Base Solid</v>
          </cell>
          <cell r="P107">
            <v>0</v>
          </cell>
          <cell r="Q107" t="e">
            <v>#REF!</v>
          </cell>
          <cell r="R107">
            <v>0</v>
          </cell>
          <cell r="S107" t="e">
            <v>#REF!</v>
          </cell>
          <cell r="T107">
            <v>0</v>
          </cell>
          <cell r="U107" t="e">
            <v>#REF!</v>
          </cell>
          <cell r="V107">
            <v>0</v>
          </cell>
          <cell r="W107" t="e">
            <v>#REF!</v>
          </cell>
          <cell r="X107">
            <v>0</v>
          </cell>
          <cell r="Y107" t="e">
            <v>#REF!</v>
          </cell>
          <cell r="Z107">
            <v>0</v>
          </cell>
          <cell r="AB107" t="str">
            <v>NA</v>
          </cell>
          <cell r="AD107" t="str">
            <v>NA</v>
          </cell>
          <cell r="AF107" t="str">
            <v>NA</v>
          </cell>
          <cell r="AH107" t="str">
            <v>NA</v>
          </cell>
          <cell r="AJ107" t="str">
            <v>NA</v>
          </cell>
          <cell r="AL107" t="str">
            <v>NA</v>
          </cell>
          <cell r="AN107">
            <v>0</v>
          </cell>
          <cell r="AO107">
            <v>0</v>
          </cell>
          <cell r="AP107">
            <v>0</v>
          </cell>
          <cell r="AQ107">
            <v>0</v>
          </cell>
          <cell r="AR107">
            <v>0</v>
          </cell>
          <cell r="AS107">
            <v>0</v>
          </cell>
          <cell r="AT107">
            <v>0</v>
          </cell>
          <cell r="AU107">
            <v>0</v>
          </cell>
          <cell r="AV107">
            <v>0</v>
          </cell>
          <cell r="AW107">
            <v>0</v>
          </cell>
          <cell r="AX107">
            <v>0</v>
          </cell>
          <cell r="AZ107">
            <v>11.90192733261156</v>
          </cell>
          <cell r="BB107">
            <v>12.451079932313627</v>
          </cell>
          <cell r="BD107">
            <v>12.86873502140741</v>
          </cell>
          <cell r="BF107">
            <v>8.9033727459218248</v>
          </cell>
          <cell r="BH107">
            <v>0</v>
          </cell>
          <cell r="BJ107">
            <v>0</v>
          </cell>
        </row>
        <row r="108">
          <cell r="B108" t="str">
            <v>Base Extension</v>
          </cell>
          <cell r="AZ108">
            <v>0</v>
          </cell>
          <cell r="BB108">
            <v>0</v>
          </cell>
          <cell r="BD108">
            <v>0</v>
          </cell>
          <cell r="BF108">
            <v>3.3336048516207741</v>
          </cell>
          <cell r="BH108">
            <v>12.021111157086834</v>
          </cell>
          <cell r="BJ108">
            <v>12.567039628661686</v>
          </cell>
        </row>
        <row r="109">
          <cell r="B109" t="str">
            <v>Base Recompete (No RFP Req'd)</v>
          </cell>
          <cell r="AZ109">
            <v>0</v>
          </cell>
          <cell r="BB109">
            <v>0</v>
          </cell>
          <cell r="BD109">
            <v>0.15757531914390746</v>
          </cell>
          <cell r="BF109">
            <v>0.64651833819175231</v>
          </cell>
          <cell r="BH109">
            <v>0.66326402877566371</v>
          </cell>
          <cell r="BJ109">
            <v>0.68055474444605923</v>
          </cell>
        </row>
        <row r="110">
          <cell r="B110" t="str">
            <v>Base Recompete (Open RFP Req'd)</v>
          </cell>
          <cell r="AZ110">
            <v>0</v>
          </cell>
          <cell r="BB110">
            <v>0</v>
          </cell>
          <cell r="BD110">
            <v>0</v>
          </cell>
          <cell r="BF110">
            <v>0.7407769656621922</v>
          </cell>
          <cell r="BH110">
            <v>1.5614361926755465</v>
          </cell>
          <cell r="BJ110">
            <v>1.6442054656996352</v>
          </cell>
        </row>
        <row r="111">
          <cell r="B111" t="str">
            <v>Waco / ETX at Risk</v>
          </cell>
          <cell r="AZ111">
            <v>1.9005836353673593</v>
          </cell>
          <cell r="BB111">
            <v>1.7074262492340366</v>
          </cell>
          <cell r="BD111">
            <v>0.77270755910666167</v>
          </cell>
          <cell r="BF111">
            <v>0.78816171028879489</v>
          </cell>
          <cell r="BH111">
            <v>0.80392494449457086</v>
          </cell>
          <cell r="BJ111">
            <v>0.82000344338446218</v>
          </cell>
        </row>
        <row r="112">
          <cell r="B112" t="str">
            <v>P+ Likely to Exit CA Contract</v>
          </cell>
          <cell r="AZ112">
            <v>4.5704030117906438</v>
          </cell>
          <cell r="BB112">
            <v>4.9519365511576323</v>
          </cell>
          <cell r="BD112">
            <v>5.0854264445740842</v>
          </cell>
          <cell r="BF112">
            <v>5.2212614102119765</v>
          </cell>
          <cell r="BH112">
            <v>5.3594788133897309</v>
          </cell>
          <cell r="BJ112">
            <v>5.5001165942979569</v>
          </cell>
        </row>
        <row r="113">
          <cell r="B113" t="str">
            <v>Acquisitions / RPFs</v>
          </cell>
          <cell r="AZ113">
            <v>0</v>
          </cell>
          <cell r="BB113">
            <v>1</v>
          </cell>
          <cell r="BD113">
            <v>3.02</v>
          </cell>
          <cell r="BF113">
            <v>5.0603999999999996</v>
          </cell>
          <cell r="BH113">
            <v>9.1216080000000002</v>
          </cell>
          <cell r="BJ113">
            <v>11.224040159999999</v>
          </cell>
        </row>
        <row r="114">
          <cell r="B114" t="str">
            <v xml:space="preserve">Total </v>
          </cell>
          <cell r="P114">
            <v>0</v>
          </cell>
          <cell r="Q114" t="e">
            <v>#REF!</v>
          </cell>
          <cell r="R114">
            <v>0</v>
          </cell>
          <cell r="S114" t="e">
            <v>#REF!</v>
          </cell>
          <cell r="T114">
            <v>0</v>
          </cell>
          <cell r="U114" t="e">
            <v>#REF!</v>
          </cell>
          <cell r="V114">
            <v>0</v>
          </cell>
          <cell r="W114" t="e">
            <v>#REF!</v>
          </cell>
          <cell r="X114">
            <v>0</v>
          </cell>
          <cell r="Y114" t="e">
            <v>#REF!</v>
          </cell>
          <cell r="Z114">
            <v>0</v>
          </cell>
          <cell r="AB114" t="str">
            <v>NA</v>
          </cell>
          <cell r="AD114" t="str">
            <v>NA</v>
          </cell>
          <cell r="AF114" t="str">
            <v>NA</v>
          </cell>
          <cell r="AH114" t="str">
            <v>NA</v>
          </cell>
          <cell r="AJ114" t="str">
            <v>NA</v>
          </cell>
          <cell r="AL114" t="str">
            <v>NA</v>
          </cell>
          <cell r="AN114">
            <v>0</v>
          </cell>
          <cell r="AO114">
            <v>0</v>
          </cell>
          <cell r="AP114">
            <v>0</v>
          </cell>
          <cell r="AQ114">
            <v>0</v>
          </cell>
          <cell r="AR114">
            <v>0</v>
          </cell>
          <cell r="AS114">
            <v>0</v>
          </cell>
          <cell r="AT114">
            <v>0</v>
          </cell>
          <cell r="AU114">
            <v>0</v>
          </cell>
          <cell r="AV114">
            <v>0</v>
          </cell>
          <cell r="AW114">
            <v>0</v>
          </cell>
          <cell r="AX114">
            <v>0</v>
          </cell>
          <cell r="AZ114">
            <v>18.372913979769564</v>
          </cell>
          <cell r="BB114">
            <v>20.110442732705295</v>
          </cell>
          <cell r="BD114">
            <v>21.904444344232065</v>
          </cell>
          <cell r="BF114">
            <v>24.694096021897316</v>
          </cell>
          <cell r="BH114">
            <v>29.530823136422349</v>
          </cell>
          <cell r="BJ114">
            <v>32.435960036489796</v>
          </cell>
        </row>
        <row r="117">
          <cell r="AZ117">
            <v>-6.993878178142225</v>
          </cell>
          <cell r="BB117">
            <v>-6.993878178142225</v>
          </cell>
          <cell r="BD117">
            <v>-6.993878178142225</v>
          </cell>
          <cell r="BF117">
            <v>-6.993878178142225</v>
          </cell>
          <cell r="BH117">
            <v>-6.993878178142225</v>
          </cell>
          <cell r="BJ117">
            <v>-6.993878178142225</v>
          </cell>
        </row>
        <row r="119">
          <cell r="AZ119">
            <v>11.379035801627339</v>
          </cell>
          <cell r="BB119">
            <v>13.11656455456307</v>
          </cell>
          <cell r="BD119">
            <v>14.91056616608984</v>
          </cell>
          <cell r="BF119">
            <v>17.700217843755091</v>
          </cell>
          <cell r="BH119">
            <v>22.536944958280124</v>
          </cell>
          <cell r="BJ119">
            <v>25.442081858347571</v>
          </cell>
        </row>
      </sheetData>
      <sheetData sheetId="10">
        <row r="3">
          <cell r="B3" t="str">
            <v xml:space="preserve">CONSOLIDATED P&amp;L: </v>
          </cell>
        </row>
        <row r="6">
          <cell r="E6" t="str">
            <v>PERCENTAGE ADJUSTED:</v>
          </cell>
          <cell r="M6" t="str">
            <v>DRIVERS:</v>
          </cell>
          <cell r="AR6" t="str">
            <v>UNADJUSTED:</v>
          </cell>
        </row>
        <row r="8">
          <cell r="B8" t="str">
            <v>($ millions)</v>
          </cell>
          <cell r="E8">
            <v>42735</v>
          </cell>
          <cell r="F8">
            <v>43100</v>
          </cell>
          <cell r="G8">
            <v>43465</v>
          </cell>
          <cell r="H8">
            <v>43830</v>
          </cell>
          <cell r="I8">
            <v>44196</v>
          </cell>
          <cell r="J8">
            <v>44561</v>
          </cell>
          <cell r="K8">
            <v>44926</v>
          </cell>
          <cell r="M8">
            <v>43465</v>
          </cell>
          <cell r="N8">
            <v>43830</v>
          </cell>
          <cell r="O8">
            <v>44196</v>
          </cell>
          <cell r="P8">
            <v>44561</v>
          </cell>
          <cell r="Q8">
            <v>44926</v>
          </cell>
          <cell r="R8">
            <v>43465</v>
          </cell>
          <cell r="S8">
            <v>43830</v>
          </cell>
          <cell r="T8">
            <v>44196</v>
          </cell>
          <cell r="U8">
            <v>44561</v>
          </cell>
          <cell r="V8">
            <v>44926</v>
          </cell>
          <cell r="X8">
            <v>43465</v>
          </cell>
          <cell r="Y8">
            <v>43830</v>
          </cell>
          <cell r="Z8">
            <v>44196</v>
          </cell>
          <cell r="AA8">
            <v>44561</v>
          </cell>
          <cell r="AB8">
            <v>44926</v>
          </cell>
          <cell r="AD8">
            <v>43465</v>
          </cell>
          <cell r="AE8">
            <v>43830</v>
          </cell>
          <cell r="AF8">
            <v>44196</v>
          </cell>
          <cell r="AG8">
            <v>44561</v>
          </cell>
          <cell r="AH8">
            <v>44926</v>
          </cell>
          <cell r="AJ8">
            <v>43465</v>
          </cell>
          <cell r="AK8">
            <v>43830</v>
          </cell>
          <cell r="AL8">
            <v>44196</v>
          </cell>
          <cell r="AM8">
            <v>44561</v>
          </cell>
          <cell r="AN8">
            <v>44926</v>
          </cell>
          <cell r="AR8">
            <v>42735</v>
          </cell>
          <cell r="AS8">
            <v>43100</v>
          </cell>
          <cell r="AT8">
            <v>43465</v>
          </cell>
          <cell r="AU8">
            <v>43830</v>
          </cell>
          <cell r="AV8">
            <v>44196</v>
          </cell>
          <cell r="AW8">
            <v>44561</v>
          </cell>
          <cell r="AX8">
            <v>44926</v>
          </cell>
        </row>
        <row r="9">
          <cell r="R9" t="str">
            <v>MANAGEMENT CASE</v>
          </cell>
          <cell r="X9" t="str">
            <v>BASE CASE</v>
          </cell>
          <cell r="AD9" t="str">
            <v>DOWNSIDE CASE</v>
          </cell>
          <cell r="AJ9" t="str">
            <v>LENDER CASE</v>
          </cell>
        </row>
        <row r="10">
          <cell r="B10" t="str">
            <v>Transports:</v>
          </cell>
        </row>
        <row r="11">
          <cell r="B11" t="str">
            <v>Florida</v>
          </cell>
          <cell r="E11">
            <v>177664</v>
          </cell>
          <cell r="F11">
            <v>184707</v>
          </cell>
          <cell r="G11">
            <v>189324.67499999999</v>
          </cell>
          <cell r="H11">
            <v>194057.79187499997</v>
          </cell>
          <cell r="I11">
            <v>198909.23667187494</v>
          </cell>
          <cell r="J11">
            <v>203881.9675886718</v>
          </cell>
          <cell r="K11">
            <v>208979.01677838858</v>
          </cell>
          <cell r="M11">
            <v>1</v>
          </cell>
          <cell r="N11">
            <v>1</v>
          </cell>
          <cell r="O11">
            <v>1</v>
          </cell>
          <cell r="P11">
            <v>1</v>
          </cell>
          <cell r="Q11">
            <v>1</v>
          </cell>
          <cell r="R11">
            <v>1</v>
          </cell>
          <cell r="S11">
            <v>1</v>
          </cell>
          <cell r="T11">
            <v>1</v>
          </cell>
          <cell r="U11">
            <v>1</v>
          </cell>
          <cell r="V11">
            <v>1</v>
          </cell>
          <cell r="X11">
            <v>1</v>
          </cell>
          <cell r="Y11">
            <v>1</v>
          </cell>
          <cell r="Z11">
            <v>1</v>
          </cell>
          <cell r="AA11">
            <v>1</v>
          </cell>
          <cell r="AB11">
            <v>1</v>
          </cell>
          <cell r="AD11">
            <v>1</v>
          </cell>
          <cell r="AE11">
            <v>1</v>
          </cell>
          <cell r="AF11">
            <v>1</v>
          </cell>
          <cell r="AG11">
            <v>1</v>
          </cell>
          <cell r="AH11">
            <v>1</v>
          </cell>
          <cell r="AJ11">
            <v>1</v>
          </cell>
          <cell r="AK11">
            <v>1</v>
          </cell>
          <cell r="AL11">
            <v>1</v>
          </cell>
          <cell r="AM11">
            <v>1</v>
          </cell>
          <cell r="AN11">
            <v>1</v>
          </cell>
          <cell r="AR11">
            <v>177664</v>
          </cell>
          <cell r="AS11">
            <v>184707</v>
          </cell>
          <cell r="AT11">
            <v>189324.67499999999</v>
          </cell>
          <cell r="AU11">
            <v>194057.79187499997</v>
          </cell>
          <cell r="AV11">
            <v>198909.23667187494</v>
          </cell>
          <cell r="AW11">
            <v>203881.9675886718</v>
          </cell>
          <cell r="AX11">
            <v>208979.01677838858</v>
          </cell>
        </row>
        <row r="12">
          <cell r="B12" t="str">
            <v>ETX Mgmt Agreement</v>
          </cell>
          <cell r="E12">
            <v>0</v>
          </cell>
          <cell r="F12">
            <v>0</v>
          </cell>
          <cell r="G12">
            <v>0</v>
          </cell>
          <cell r="H12">
            <v>0</v>
          </cell>
          <cell r="I12">
            <v>0</v>
          </cell>
          <cell r="J12">
            <v>0</v>
          </cell>
          <cell r="K12">
            <v>0</v>
          </cell>
          <cell r="M12">
            <v>1</v>
          </cell>
          <cell r="N12">
            <v>1</v>
          </cell>
          <cell r="O12">
            <v>1</v>
          </cell>
          <cell r="P12">
            <v>1</v>
          </cell>
          <cell r="Q12">
            <v>1</v>
          </cell>
          <cell r="R12">
            <v>1</v>
          </cell>
          <cell r="S12">
            <v>1</v>
          </cell>
          <cell r="T12">
            <v>1</v>
          </cell>
          <cell r="U12">
            <v>1</v>
          </cell>
          <cell r="V12">
            <v>1</v>
          </cell>
          <cell r="X12">
            <v>1</v>
          </cell>
          <cell r="Y12">
            <v>0.5</v>
          </cell>
          <cell r="Z12">
            <v>0</v>
          </cell>
          <cell r="AA12">
            <v>0</v>
          </cell>
          <cell r="AB12">
            <v>0</v>
          </cell>
          <cell r="AD12">
            <v>1</v>
          </cell>
          <cell r="AE12">
            <v>0.5</v>
          </cell>
          <cell r="AF12">
            <v>0</v>
          </cell>
          <cell r="AG12">
            <v>0</v>
          </cell>
          <cell r="AH12">
            <v>0</v>
          </cell>
          <cell r="AJ12">
            <v>1</v>
          </cell>
          <cell r="AK12">
            <v>1</v>
          </cell>
          <cell r="AL12">
            <v>1</v>
          </cell>
          <cell r="AM12">
            <v>1</v>
          </cell>
          <cell r="AN12">
            <v>1</v>
          </cell>
          <cell r="AR12">
            <v>0</v>
          </cell>
          <cell r="AS12">
            <v>0</v>
          </cell>
          <cell r="AT12">
            <v>0</v>
          </cell>
          <cell r="AU12">
            <v>0</v>
          </cell>
          <cell r="AV12">
            <v>0</v>
          </cell>
          <cell r="AW12">
            <v>0</v>
          </cell>
          <cell r="AX12">
            <v>0</v>
          </cell>
          <cell r="BO12" t="str">
            <v>REVENUE / EBITDA</v>
          </cell>
          <cell r="BS12" t="str">
            <v>OCF / CapEx</v>
          </cell>
        </row>
        <row r="13">
          <cell r="B13" t="str">
            <v>Indiana</v>
          </cell>
          <cell r="E13">
            <v>28323</v>
          </cell>
          <cell r="F13">
            <v>28992</v>
          </cell>
          <cell r="G13">
            <v>29571.84</v>
          </cell>
          <cell r="H13">
            <v>30163.2768</v>
          </cell>
          <cell r="I13">
            <v>30766.542335999999</v>
          </cell>
          <cell r="J13">
            <v>31381.873182719999</v>
          </cell>
          <cell r="K13">
            <v>32009.510646374398</v>
          </cell>
          <cell r="M13">
            <v>1</v>
          </cell>
          <cell r="N13">
            <v>1</v>
          </cell>
          <cell r="O13">
            <v>1</v>
          </cell>
          <cell r="P13">
            <v>1</v>
          </cell>
          <cell r="Q13">
            <v>1</v>
          </cell>
          <cell r="R13">
            <v>1</v>
          </cell>
          <cell r="S13">
            <v>1</v>
          </cell>
          <cell r="T13">
            <v>1</v>
          </cell>
          <cell r="U13">
            <v>1</v>
          </cell>
          <cell r="V13">
            <v>1</v>
          </cell>
          <cell r="X13">
            <v>1</v>
          </cell>
          <cell r="Y13">
            <v>1</v>
          </cell>
          <cell r="Z13">
            <v>1</v>
          </cell>
          <cell r="AA13">
            <v>1</v>
          </cell>
          <cell r="AB13">
            <v>1</v>
          </cell>
          <cell r="AD13">
            <v>1</v>
          </cell>
          <cell r="AE13">
            <v>1</v>
          </cell>
          <cell r="AF13">
            <v>1</v>
          </cell>
          <cell r="AG13">
            <v>1</v>
          </cell>
          <cell r="AH13">
            <v>1</v>
          </cell>
          <cell r="AJ13">
            <v>1</v>
          </cell>
          <cell r="AK13">
            <v>1</v>
          </cell>
          <cell r="AL13">
            <v>1</v>
          </cell>
          <cell r="AM13">
            <v>1</v>
          </cell>
          <cell r="AN13">
            <v>1</v>
          </cell>
          <cell r="AR13">
            <v>28323</v>
          </cell>
          <cell r="AS13">
            <v>28992</v>
          </cell>
          <cell r="AT13">
            <v>29571.84</v>
          </cell>
          <cell r="AU13">
            <v>30163.2768</v>
          </cell>
          <cell r="AV13">
            <v>30766.542335999999</v>
          </cell>
          <cell r="AW13">
            <v>31381.873182719999</v>
          </cell>
          <cell r="AX13">
            <v>32009.510646374398</v>
          </cell>
        </row>
        <row r="14">
          <cell r="B14" t="str">
            <v>South Dakota</v>
          </cell>
          <cell r="E14">
            <v>11099</v>
          </cell>
          <cell r="F14">
            <v>11938</v>
          </cell>
          <cell r="G14">
            <v>12176.76</v>
          </cell>
          <cell r="H14">
            <v>12420.2952</v>
          </cell>
          <cell r="I14">
            <v>12668.701104000002</v>
          </cell>
          <cell r="J14">
            <v>12922.075126080003</v>
          </cell>
          <cell r="K14">
            <v>13180.516628601603</v>
          </cell>
          <cell r="M14">
            <v>1</v>
          </cell>
          <cell r="N14">
            <v>1</v>
          </cell>
          <cell r="O14">
            <v>1</v>
          </cell>
          <cell r="P14">
            <v>1</v>
          </cell>
          <cell r="Q14">
            <v>1</v>
          </cell>
          <cell r="R14">
            <v>1</v>
          </cell>
          <cell r="S14">
            <v>1</v>
          </cell>
          <cell r="T14">
            <v>1</v>
          </cell>
          <cell r="U14">
            <v>1</v>
          </cell>
          <cell r="V14">
            <v>1</v>
          </cell>
          <cell r="X14">
            <v>1</v>
          </cell>
          <cell r="Y14">
            <v>1</v>
          </cell>
          <cell r="Z14">
            <v>1</v>
          </cell>
          <cell r="AA14">
            <v>1</v>
          </cell>
          <cell r="AB14">
            <v>1</v>
          </cell>
          <cell r="AD14">
            <v>1</v>
          </cell>
          <cell r="AE14">
            <v>1</v>
          </cell>
          <cell r="AF14">
            <v>1</v>
          </cell>
          <cell r="AG14">
            <v>1</v>
          </cell>
          <cell r="AH14">
            <v>1</v>
          </cell>
          <cell r="AJ14">
            <v>1</v>
          </cell>
          <cell r="AK14">
            <v>1</v>
          </cell>
          <cell r="AL14">
            <v>1</v>
          </cell>
          <cell r="AM14">
            <v>1</v>
          </cell>
          <cell r="AN14">
            <v>1</v>
          </cell>
          <cell r="AR14">
            <v>11099</v>
          </cell>
          <cell r="AS14">
            <v>11938</v>
          </cell>
          <cell r="AT14">
            <v>12176.76</v>
          </cell>
          <cell r="AU14">
            <v>12420.2952</v>
          </cell>
          <cell r="AV14">
            <v>12668.701104000002</v>
          </cell>
          <cell r="AW14">
            <v>12922.075126080003</v>
          </cell>
          <cell r="AX14">
            <v>13180.516628601603</v>
          </cell>
          <cell r="BO14" t="str">
            <v>Florida</v>
          </cell>
        </row>
        <row r="15">
          <cell r="B15" t="str">
            <v>Waco</v>
          </cell>
          <cell r="E15">
            <v>22865</v>
          </cell>
          <cell r="F15">
            <v>23311</v>
          </cell>
          <cell r="G15">
            <v>17832.915000000001</v>
          </cell>
          <cell r="H15">
            <v>0</v>
          </cell>
          <cell r="I15">
            <v>0</v>
          </cell>
          <cell r="J15">
            <v>0</v>
          </cell>
          <cell r="K15">
            <v>0</v>
          </cell>
          <cell r="M15">
            <v>0.75</v>
          </cell>
          <cell r="N15">
            <v>0</v>
          </cell>
          <cell r="O15">
            <v>0</v>
          </cell>
          <cell r="P15">
            <v>0</v>
          </cell>
          <cell r="Q15">
            <v>0</v>
          </cell>
          <cell r="R15">
            <v>0.75</v>
          </cell>
          <cell r="S15">
            <v>0</v>
          </cell>
          <cell r="T15">
            <v>0</v>
          </cell>
          <cell r="U15">
            <v>0</v>
          </cell>
          <cell r="V15">
            <v>0</v>
          </cell>
          <cell r="X15">
            <v>0.75</v>
          </cell>
          <cell r="Y15">
            <v>0</v>
          </cell>
          <cell r="Z15">
            <v>0</v>
          </cell>
          <cell r="AA15">
            <v>0</v>
          </cell>
          <cell r="AB15">
            <v>0</v>
          </cell>
          <cell r="AD15">
            <v>0.75</v>
          </cell>
          <cell r="AE15">
            <v>0</v>
          </cell>
          <cell r="AF15">
            <v>0</v>
          </cell>
          <cell r="AG15">
            <v>0</v>
          </cell>
          <cell r="AH15">
            <v>0</v>
          </cell>
          <cell r="AJ15">
            <v>0.75</v>
          </cell>
          <cell r="AK15">
            <v>0</v>
          </cell>
          <cell r="AL15">
            <v>0</v>
          </cell>
          <cell r="AM15">
            <v>0</v>
          </cell>
          <cell r="AN15">
            <v>0</v>
          </cell>
          <cell r="AR15">
            <v>22865</v>
          </cell>
          <cell r="AS15">
            <v>23311</v>
          </cell>
          <cell r="AT15">
            <v>23777.22</v>
          </cell>
          <cell r="AU15">
            <v>24252.7644</v>
          </cell>
          <cell r="AV15">
            <v>24737.819688</v>
          </cell>
          <cell r="AW15">
            <v>25232.576081759998</v>
          </cell>
          <cell r="AX15">
            <v>25737.2276033952</v>
          </cell>
        </row>
        <row r="16">
          <cell r="B16" t="str">
            <v>Wylie</v>
          </cell>
          <cell r="E16">
            <v>2384</v>
          </cell>
          <cell r="F16">
            <v>2504</v>
          </cell>
          <cell r="G16">
            <v>2554.08</v>
          </cell>
          <cell r="H16">
            <v>2605.1615999999999</v>
          </cell>
          <cell r="I16">
            <v>2657.2648319999998</v>
          </cell>
          <cell r="J16">
            <v>2710.41012864</v>
          </cell>
          <cell r="K16">
            <v>2764.6183312128001</v>
          </cell>
          <cell r="M16">
            <v>1</v>
          </cell>
          <cell r="N16">
            <v>1</v>
          </cell>
          <cell r="O16">
            <v>1</v>
          </cell>
          <cell r="P16">
            <v>1</v>
          </cell>
          <cell r="Q16">
            <v>1</v>
          </cell>
          <cell r="R16">
            <v>1</v>
          </cell>
          <cell r="S16">
            <v>1</v>
          </cell>
          <cell r="T16">
            <v>1</v>
          </cell>
          <cell r="U16">
            <v>1</v>
          </cell>
          <cell r="V16">
            <v>1</v>
          </cell>
          <cell r="X16">
            <v>1</v>
          </cell>
          <cell r="Y16">
            <v>1</v>
          </cell>
          <cell r="Z16">
            <v>1</v>
          </cell>
          <cell r="AA16">
            <v>1</v>
          </cell>
          <cell r="AB16">
            <v>1</v>
          </cell>
          <cell r="AD16">
            <v>1</v>
          </cell>
          <cell r="AE16">
            <v>1</v>
          </cell>
          <cell r="AF16">
            <v>1</v>
          </cell>
          <cell r="AG16">
            <v>1</v>
          </cell>
          <cell r="AH16">
            <v>1</v>
          </cell>
          <cell r="AJ16">
            <v>1</v>
          </cell>
          <cell r="AK16">
            <v>1</v>
          </cell>
          <cell r="AL16">
            <v>1</v>
          </cell>
          <cell r="AM16">
            <v>1</v>
          </cell>
          <cell r="AN16">
            <v>1</v>
          </cell>
          <cell r="AR16">
            <v>2384</v>
          </cell>
          <cell r="AS16">
            <v>2504</v>
          </cell>
          <cell r="AT16">
            <v>2554.08</v>
          </cell>
          <cell r="AU16">
            <v>2605.1615999999999</v>
          </cell>
          <cell r="AV16">
            <v>2657.2648319999998</v>
          </cell>
          <cell r="AW16">
            <v>2710.41012864</v>
          </cell>
          <cell r="AX16">
            <v>2764.6183312128001</v>
          </cell>
        </row>
        <row r="17">
          <cell r="B17" t="str">
            <v>California</v>
          </cell>
          <cell r="E17">
            <v>102558</v>
          </cell>
          <cell r="F17">
            <v>102489</v>
          </cell>
          <cell r="G17">
            <v>103770.11249999999</v>
          </cell>
          <cell r="H17">
            <v>105067.23890624999</v>
          </cell>
          <cell r="I17">
            <v>106380.5793925781</v>
          </cell>
          <cell r="J17">
            <v>107710.33663498533</v>
          </cell>
          <cell r="K17">
            <v>109056.71584292264</v>
          </cell>
          <cell r="M17">
            <v>1</v>
          </cell>
          <cell r="N17">
            <v>1</v>
          </cell>
          <cell r="O17">
            <v>1</v>
          </cell>
          <cell r="P17">
            <v>1</v>
          </cell>
          <cell r="Q17">
            <v>1</v>
          </cell>
          <cell r="R17">
            <v>1</v>
          </cell>
          <cell r="S17">
            <v>1</v>
          </cell>
          <cell r="T17">
            <v>1</v>
          </cell>
          <cell r="U17">
            <v>1</v>
          </cell>
          <cell r="V17">
            <v>1</v>
          </cell>
          <cell r="X17">
            <v>1</v>
          </cell>
          <cell r="Y17">
            <v>0.5</v>
          </cell>
          <cell r="Z17">
            <v>0</v>
          </cell>
          <cell r="AA17">
            <v>0</v>
          </cell>
          <cell r="AB17">
            <v>0</v>
          </cell>
          <cell r="AD17">
            <v>1</v>
          </cell>
          <cell r="AE17">
            <v>0.5</v>
          </cell>
          <cell r="AF17">
            <v>0</v>
          </cell>
          <cell r="AG17">
            <v>0</v>
          </cell>
          <cell r="AH17">
            <v>0</v>
          </cell>
          <cell r="AJ17">
            <v>1</v>
          </cell>
          <cell r="AK17">
            <v>0.5</v>
          </cell>
          <cell r="AL17">
            <v>0</v>
          </cell>
          <cell r="AM17">
            <v>0</v>
          </cell>
          <cell r="AN17">
            <v>0</v>
          </cell>
          <cell r="AR17">
            <v>102558</v>
          </cell>
          <cell r="AS17">
            <v>102489</v>
          </cell>
          <cell r="AT17">
            <v>103770.11249999999</v>
          </cell>
          <cell r="AU17">
            <v>105067.23890624999</v>
          </cell>
          <cell r="AV17">
            <v>106380.5793925781</v>
          </cell>
          <cell r="AW17">
            <v>107710.33663498533</v>
          </cell>
          <cell r="AX17">
            <v>109056.71584292264</v>
          </cell>
        </row>
        <row r="18">
          <cell r="B18" t="str">
            <v>Fleet Plus</v>
          </cell>
          <cell r="E18">
            <v>0</v>
          </cell>
          <cell r="F18">
            <v>0</v>
          </cell>
          <cell r="G18">
            <v>0</v>
          </cell>
          <cell r="H18">
            <v>0</v>
          </cell>
          <cell r="I18">
            <v>0</v>
          </cell>
          <cell r="J18">
            <v>0</v>
          </cell>
          <cell r="K18">
            <v>0</v>
          </cell>
          <cell r="AR18">
            <v>0</v>
          </cell>
          <cell r="AS18">
            <v>0</v>
          </cell>
          <cell r="AT18">
            <v>0</v>
          </cell>
          <cell r="AU18">
            <v>0</v>
          </cell>
          <cell r="AV18">
            <v>0</v>
          </cell>
          <cell r="AW18">
            <v>0</v>
          </cell>
          <cell r="AX18">
            <v>0</v>
          </cell>
        </row>
        <row r="19">
          <cell r="B19" t="str">
            <v>Corporate (TX)</v>
          </cell>
          <cell r="E19">
            <v>0</v>
          </cell>
          <cell r="F19">
            <v>0</v>
          </cell>
          <cell r="G19">
            <v>0</v>
          </cell>
          <cell r="H19">
            <v>0</v>
          </cell>
          <cell r="I19">
            <v>0</v>
          </cell>
          <cell r="J19">
            <v>0</v>
          </cell>
          <cell r="K19">
            <v>0</v>
          </cell>
          <cell r="AR19">
            <v>0</v>
          </cell>
          <cell r="AS19">
            <v>0</v>
          </cell>
          <cell r="AT19">
            <v>0</v>
          </cell>
          <cell r="AU19">
            <v>0</v>
          </cell>
          <cell r="AV19">
            <v>0</v>
          </cell>
          <cell r="AW19">
            <v>0</v>
          </cell>
          <cell r="AX19">
            <v>0</v>
          </cell>
        </row>
        <row r="20">
          <cell r="B20" t="str">
            <v>Corporate (P+)</v>
          </cell>
          <cell r="E20">
            <v>0</v>
          </cell>
          <cell r="F20">
            <v>0</v>
          </cell>
          <cell r="G20">
            <v>0</v>
          </cell>
          <cell r="H20">
            <v>0</v>
          </cell>
          <cell r="I20">
            <v>0</v>
          </cell>
          <cell r="J20">
            <v>0</v>
          </cell>
          <cell r="K20">
            <v>0</v>
          </cell>
          <cell r="AR20">
            <v>0</v>
          </cell>
          <cell r="AS20">
            <v>0</v>
          </cell>
          <cell r="AT20">
            <v>0</v>
          </cell>
          <cell r="AU20">
            <v>0</v>
          </cell>
          <cell r="AV20">
            <v>0</v>
          </cell>
          <cell r="AW20">
            <v>0</v>
          </cell>
          <cell r="AX20">
            <v>0</v>
          </cell>
        </row>
        <row r="21">
          <cell r="B21" t="str">
            <v>Total Transports:</v>
          </cell>
          <cell r="E21">
            <v>344893</v>
          </cell>
          <cell r="F21">
            <v>353941</v>
          </cell>
          <cell r="G21">
            <v>355230.38249999995</v>
          </cell>
          <cell r="H21">
            <v>344313.7643812499</v>
          </cell>
          <cell r="I21">
            <v>351382.32433645305</v>
          </cell>
          <cell r="J21">
            <v>358606.66266109719</v>
          </cell>
          <cell r="K21">
            <v>365990.37822750007</v>
          </cell>
          <cell r="AR21">
            <v>344893</v>
          </cell>
          <cell r="AS21">
            <v>353941</v>
          </cell>
          <cell r="AT21">
            <v>361174.6875</v>
          </cell>
          <cell r="AU21">
            <v>368566.52878124994</v>
          </cell>
          <cell r="AV21">
            <v>376120.14402445307</v>
          </cell>
          <cell r="AW21">
            <v>383839.23874285718</v>
          </cell>
          <cell r="AX21">
            <v>391727.60583089519</v>
          </cell>
        </row>
        <row r="23">
          <cell r="B23" t="str">
            <v>Revenue:</v>
          </cell>
        </row>
        <row r="24">
          <cell r="B24" t="str">
            <v>Florida</v>
          </cell>
          <cell r="E24">
            <v>46.500388950000001</v>
          </cell>
          <cell r="F24">
            <v>49.190912970000007</v>
          </cell>
          <cell r="G24">
            <v>50.763240026861247</v>
          </cell>
          <cell r="H24">
            <v>52.383681345746155</v>
          </cell>
          <cell r="I24">
            <v>54.057090840242097</v>
          </cell>
          <cell r="J24">
            <v>55.785199907589387</v>
          </cell>
          <cell r="K24">
            <v>57.569796540075593</v>
          </cell>
          <cell r="M24">
            <v>1</v>
          </cell>
          <cell r="N24">
            <v>1</v>
          </cell>
          <cell r="O24">
            <v>1</v>
          </cell>
          <cell r="P24">
            <v>1</v>
          </cell>
          <cell r="Q24">
            <v>1</v>
          </cell>
          <cell r="AR24">
            <v>46.500388950000001</v>
          </cell>
          <cell r="AS24">
            <v>49.190912970000007</v>
          </cell>
          <cell r="AT24">
            <v>50.763240026861247</v>
          </cell>
          <cell r="AU24">
            <v>52.383681345746155</v>
          </cell>
          <cell r="AV24">
            <v>54.057090840242097</v>
          </cell>
          <cell r="AW24">
            <v>55.785199907589387</v>
          </cell>
          <cell r="AX24">
            <v>57.569796540075593</v>
          </cell>
        </row>
        <row r="25">
          <cell r="B25" t="str">
            <v>ETX Mgmt Agreement</v>
          </cell>
          <cell r="E25">
            <v>0.72396117787500014</v>
          </cell>
          <cell r="F25">
            <v>0.74270238283992851</v>
          </cell>
          <cell r="G25">
            <v>0.75755643049672705</v>
          </cell>
          <cell r="H25">
            <v>0.77270755910666167</v>
          </cell>
          <cell r="I25">
            <v>0.78816171028879489</v>
          </cell>
          <cell r="J25">
            <v>0.80392494449457086</v>
          </cell>
          <cell r="K25">
            <v>0.82000344338446218</v>
          </cell>
          <cell r="M25">
            <v>1</v>
          </cell>
          <cell r="N25">
            <v>1</v>
          </cell>
          <cell r="O25">
            <v>1</v>
          </cell>
          <cell r="P25">
            <v>1</v>
          </cell>
          <cell r="Q25">
            <v>1</v>
          </cell>
          <cell r="AR25">
            <v>0.72396117787500014</v>
          </cell>
          <cell r="AS25">
            <v>0.74270238283992851</v>
          </cell>
          <cell r="AT25">
            <v>0.75755643049672705</v>
          </cell>
          <cell r="AU25">
            <v>0.77270755910666167</v>
          </cell>
          <cell r="AV25">
            <v>0.78816171028879489</v>
          </cell>
          <cell r="AW25">
            <v>0.80392494449457086</v>
          </cell>
          <cell r="AX25">
            <v>0.82000344338446218</v>
          </cell>
        </row>
        <row r="26">
          <cell r="B26" t="str">
            <v>Indiana</v>
          </cell>
          <cell r="E26">
            <v>9.7666342400000019</v>
          </cell>
          <cell r="F26">
            <v>10.329119669999999</v>
          </cell>
          <cell r="G26">
            <v>10.6174550446755</v>
          </cell>
          <cell r="H26">
            <v>10.91029203541528</v>
          </cell>
          <cell r="I26">
            <v>11.211225968949012</v>
          </cell>
          <cell r="J26">
            <v>11.520480725744951</v>
          </cell>
          <cell r="K26">
            <v>11.8382863765663</v>
          </cell>
          <cell r="M26">
            <v>1</v>
          </cell>
          <cell r="N26">
            <v>1</v>
          </cell>
          <cell r="O26">
            <v>1</v>
          </cell>
          <cell r="P26">
            <v>1</v>
          </cell>
          <cell r="Q26">
            <v>1</v>
          </cell>
          <cell r="AR26">
            <v>9.7666342400000019</v>
          </cell>
          <cell r="AS26">
            <v>10.329119669999999</v>
          </cell>
          <cell r="AT26">
            <v>10.6174550446755</v>
          </cell>
          <cell r="AU26">
            <v>10.91029203541528</v>
          </cell>
          <cell r="AV26">
            <v>11.211225968949012</v>
          </cell>
          <cell r="AW26">
            <v>11.520480725744951</v>
          </cell>
          <cell r="AX26">
            <v>11.8382863765663</v>
          </cell>
        </row>
        <row r="27">
          <cell r="B27" t="str">
            <v>South Dakota</v>
          </cell>
          <cell r="E27">
            <v>3.9499227299999995</v>
          </cell>
          <cell r="F27">
            <v>4.7793874562566199</v>
          </cell>
          <cell r="G27">
            <v>4.9173105091441158</v>
          </cell>
          <cell r="H27">
            <v>5.0439137139079513</v>
          </cell>
          <cell r="I27">
            <v>5.1740174972835069</v>
          </cell>
          <cell r="J27">
            <v>5.307718650269396</v>
          </cell>
          <cell r="K27">
            <v>5.4451166401353461</v>
          </cell>
          <cell r="M27">
            <v>1</v>
          </cell>
          <cell r="N27">
            <v>1</v>
          </cell>
          <cell r="O27">
            <v>1</v>
          </cell>
          <cell r="P27">
            <v>1</v>
          </cell>
          <cell r="Q27">
            <v>1</v>
          </cell>
          <cell r="AR27">
            <v>3.9499227299999995</v>
          </cell>
          <cell r="AS27">
            <v>4.7793874562566199</v>
          </cell>
          <cell r="AT27">
            <v>4.9173105091441158</v>
          </cell>
          <cell r="AU27">
            <v>5.0439137139079513</v>
          </cell>
          <cell r="AV27">
            <v>5.1740174972835069</v>
          </cell>
          <cell r="AW27">
            <v>5.307718650269396</v>
          </cell>
          <cell r="AX27">
            <v>5.4451166401353461</v>
          </cell>
        </row>
        <row r="28">
          <cell r="B28" t="str">
            <v>Waco</v>
          </cell>
          <cell r="E28">
            <v>7.3208631200000021</v>
          </cell>
          <cell r="F28">
            <v>7.8023961096975523</v>
          </cell>
          <cell r="G28">
            <v>6.038225121334813</v>
          </cell>
          <cell r="H28">
            <v>0</v>
          </cell>
          <cell r="I28">
            <v>0</v>
          </cell>
          <cell r="J28">
            <v>0</v>
          </cell>
          <cell r="K28">
            <v>0</v>
          </cell>
          <cell r="M28">
            <v>0.75</v>
          </cell>
          <cell r="N28">
            <v>0</v>
          </cell>
          <cell r="O28">
            <v>0</v>
          </cell>
          <cell r="P28">
            <v>0</v>
          </cell>
          <cell r="Q28">
            <v>0</v>
          </cell>
          <cell r="AR28">
            <v>7.3208631200000021</v>
          </cell>
          <cell r="AS28">
            <v>7.8023961096975523</v>
          </cell>
          <cell r="AT28">
            <v>8.050966828446418</v>
          </cell>
          <cell r="AU28">
            <v>8.2889070525735011</v>
          </cell>
          <cell r="AV28">
            <v>8.534033071469219</v>
          </cell>
          <cell r="AW28">
            <v>8.7865618961355878</v>
          </cell>
          <cell r="AX28">
            <v>9.0467170913068848</v>
          </cell>
        </row>
        <row r="29">
          <cell r="B29" t="str">
            <v>Wylie</v>
          </cell>
          <cell r="E29">
            <v>1.05458593</v>
          </cell>
          <cell r="F29">
            <v>1.5983455762125887</v>
          </cell>
          <cell r="G29">
            <v>1.6368715813948669</v>
          </cell>
          <cell r="H29">
            <v>1.6764628306204352</v>
          </cell>
          <cell r="I29">
            <v>1.71714877788709</v>
          </cell>
          <cell r="J29">
            <v>1.7589596915956682</v>
          </cell>
          <cell r="K29">
            <v>1.8019266770682887</v>
          </cell>
          <cell r="M29">
            <v>1</v>
          </cell>
          <cell r="N29">
            <v>1</v>
          </cell>
          <cell r="O29">
            <v>1</v>
          </cell>
          <cell r="P29">
            <v>1</v>
          </cell>
          <cell r="Q29">
            <v>1</v>
          </cell>
          <cell r="AR29">
            <v>1.05458593</v>
          </cell>
          <cell r="AS29">
            <v>1.5983455762125887</v>
          </cell>
          <cell r="AT29">
            <v>1.6368715813948669</v>
          </cell>
          <cell r="AU29">
            <v>1.6764628306204352</v>
          </cell>
          <cell r="AV29">
            <v>1.71714877788709</v>
          </cell>
          <cell r="AW29">
            <v>1.7589596915956682</v>
          </cell>
          <cell r="AX29">
            <v>1.8019266770682887</v>
          </cell>
        </row>
        <row r="30">
          <cell r="B30" t="str">
            <v>California</v>
          </cell>
          <cell r="E30">
            <v>56.092201789999997</v>
          </cell>
          <cell r="F30">
            <v>61.427868629062267</v>
          </cell>
          <cell r="G30">
            <v>62.251414161151899</v>
          </cell>
          <cell r="H30">
            <v>63.165071390097644</v>
          </cell>
          <cell r="I30">
            <v>64.092462029265988</v>
          </cell>
          <cell r="J30">
            <v>65.033792508979317</v>
          </cell>
          <cell r="K30">
            <v>65.989272362465854</v>
          </cell>
          <cell r="M30">
            <v>1</v>
          </cell>
          <cell r="N30">
            <v>1</v>
          </cell>
          <cell r="O30">
            <v>1</v>
          </cell>
          <cell r="P30">
            <v>1</v>
          </cell>
          <cell r="Q30">
            <v>1</v>
          </cell>
          <cell r="AR30">
            <v>56.092201789999997</v>
          </cell>
          <cell r="AS30">
            <v>61.427868629062267</v>
          </cell>
          <cell r="AT30">
            <v>62.251414161151899</v>
          </cell>
          <cell r="AU30">
            <v>63.165071390097644</v>
          </cell>
          <cell r="AV30">
            <v>64.092462029265988</v>
          </cell>
          <cell r="AW30">
            <v>65.033792508979317</v>
          </cell>
          <cell r="AX30">
            <v>65.989272362465854</v>
          </cell>
        </row>
        <row r="31">
          <cell r="B31" t="str">
            <v>Fleet Plus</v>
          </cell>
          <cell r="E31">
            <v>1.1625254388136605</v>
          </cell>
          <cell r="F31">
            <v>1.1144568200000002</v>
          </cell>
          <cell r="G31">
            <v>1.1144568200000002</v>
          </cell>
          <cell r="H31">
            <v>1.1144568200000002</v>
          </cell>
          <cell r="I31">
            <v>1.1144568200000002</v>
          </cell>
          <cell r="J31">
            <v>1.1144568200000002</v>
          </cell>
          <cell r="K31">
            <v>1.1144568200000002</v>
          </cell>
          <cell r="AR31">
            <v>1.1625254388136605</v>
          </cell>
          <cell r="AS31">
            <v>1.1144568200000002</v>
          </cell>
          <cell r="AT31">
            <v>1.1144568200000002</v>
          </cell>
          <cell r="AU31">
            <v>1.1144568200000002</v>
          </cell>
          <cell r="AV31">
            <v>1.1144568200000002</v>
          </cell>
          <cell r="AW31">
            <v>1.1144568200000002</v>
          </cell>
          <cell r="AX31">
            <v>1.1144568200000002</v>
          </cell>
        </row>
        <row r="32">
          <cell r="B32" t="str">
            <v>Corporate (TX)</v>
          </cell>
          <cell r="E32">
            <v>0</v>
          </cell>
          <cell r="F32">
            <v>0</v>
          </cell>
          <cell r="G32">
            <v>0</v>
          </cell>
          <cell r="H32">
            <v>0</v>
          </cell>
          <cell r="I32">
            <v>0</v>
          </cell>
          <cell r="J32">
            <v>0</v>
          </cell>
          <cell r="K32">
            <v>0</v>
          </cell>
          <cell r="AR32">
            <v>0</v>
          </cell>
          <cell r="AS32">
            <v>0</v>
          </cell>
          <cell r="AT32">
            <v>0</v>
          </cell>
          <cell r="AU32">
            <v>0</v>
          </cell>
          <cell r="AV32">
            <v>0</v>
          </cell>
          <cell r="AW32">
            <v>0</v>
          </cell>
          <cell r="AX32">
            <v>0</v>
          </cell>
        </row>
        <row r="33">
          <cell r="B33" t="str">
            <v>Corporate (P+)</v>
          </cell>
          <cell r="E33">
            <v>2.5363960000000001E-2</v>
          </cell>
          <cell r="F33">
            <v>0.19630052000000001</v>
          </cell>
          <cell r="G33">
            <v>0.19630052000000001</v>
          </cell>
          <cell r="H33">
            <v>0.19630052000000001</v>
          </cell>
          <cell r="I33">
            <v>0.19630052000000001</v>
          </cell>
          <cell r="J33">
            <v>0.19630052000000001</v>
          </cell>
          <cell r="K33">
            <v>0.19630052000000001</v>
          </cell>
          <cell r="AR33">
            <v>2.5363960000000001E-2</v>
          </cell>
          <cell r="AS33">
            <v>0.19630052000000001</v>
          </cell>
          <cell r="AT33">
            <v>0.19630052000000001</v>
          </cell>
          <cell r="AU33">
            <v>0.19630052000000001</v>
          </cell>
          <cell r="AV33">
            <v>0.19630052000000001</v>
          </cell>
          <cell r="AW33">
            <v>0.19630052000000001</v>
          </cell>
          <cell r="AX33">
            <v>0.19630052000000001</v>
          </cell>
        </row>
        <row r="34">
          <cell r="B34" t="str">
            <v xml:space="preserve">Total Sales </v>
          </cell>
          <cell r="E34">
            <v>126.59644733668867</v>
          </cell>
          <cell r="F34">
            <v>137.18149013406895</v>
          </cell>
          <cell r="G34">
            <v>138.29283021505915</v>
          </cell>
          <cell r="H34">
            <v>135.26288621489411</v>
          </cell>
          <cell r="I34">
            <v>138.35086416391647</v>
          </cell>
          <cell r="J34">
            <v>141.52083376867327</v>
          </cell>
          <cell r="K34">
            <v>144.77515937969582</v>
          </cell>
          <cell r="AR34">
            <v>126.59644733668867</v>
          </cell>
          <cell r="AS34">
            <v>137.18149013406895</v>
          </cell>
          <cell r="AT34">
            <v>140.30557192217074</v>
          </cell>
          <cell r="AU34">
            <v>143.55179326746762</v>
          </cell>
          <cell r="AV34">
            <v>146.88489723538569</v>
          </cell>
          <cell r="AW34">
            <v>150.30739566480887</v>
          </cell>
          <cell r="AX34">
            <v>153.8218764710027</v>
          </cell>
        </row>
        <row r="36">
          <cell r="B36" t="str">
            <v>Operating Expenses:</v>
          </cell>
        </row>
        <row r="37">
          <cell r="B37" t="str">
            <v>Florida</v>
          </cell>
          <cell r="E37">
            <v>36.927425604740328</v>
          </cell>
          <cell r="F37">
            <v>40.348964640107717</v>
          </cell>
          <cell r="G37">
            <v>41.538445001463892</v>
          </cell>
          <cell r="H37">
            <v>42.721459759478378</v>
          </cell>
          <cell r="I37">
            <v>43.939554289313712</v>
          </cell>
          <cell r="J37">
            <v>45.193773478410499</v>
          </cell>
          <cell r="K37">
            <v>46.485193407510103</v>
          </cell>
          <cell r="M37">
            <v>1</v>
          </cell>
          <cell r="N37">
            <v>1</v>
          </cell>
          <cell r="O37">
            <v>1</v>
          </cell>
          <cell r="P37">
            <v>1</v>
          </cell>
          <cell r="Q37">
            <v>1</v>
          </cell>
          <cell r="AR37">
            <v>36.927425604740328</v>
          </cell>
          <cell r="AS37">
            <v>40.348964640107717</v>
          </cell>
          <cell r="AT37">
            <v>41.538445001463892</v>
          </cell>
          <cell r="AU37">
            <v>42.721459759478378</v>
          </cell>
          <cell r="AV37">
            <v>43.939554289313712</v>
          </cell>
          <cell r="AW37">
            <v>45.193773478410499</v>
          </cell>
          <cell r="AX37">
            <v>46.485193407510103</v>
          </cell>
        </row>
        <row r="38">
          <cell r="B38" t="str">
            <v>ETX Mgmt Agreement</v>
          </cell>
          <cell r="E38">
            <v>-1.0000000000000002</v>
          </cell>
          <cell r="F38">
            <v>-1.0000000000000002</v>
          </cell>
          <cell r="G38">
            <v>-1.0000000000000002</v>
          </cell>
          <cell r="H38">
            <v>-1.0000000000000002</v>
          </cell>
          <cell r="I38">
            <v>-1.0000000000000002</v>
          </cell>
          <cell r="J38">
            <v>-1.0000000000000002</v>
          </cell>
          <cell r="K38">
            <v>-1.0000000000000002</v>
          </cell>
          <cell r="M38">
            <v>1</v>
          </cell>
          <cell r="N38">
            <v>1</v>
          </cell>
          <cell r="O38">
            <v>1</v>
          </cell>
          <cell r="P38">
            <v>1</v>
          </cell>
          <cell r="Q38">
            <v>1</v>
          </cell>
          <cell r="AR38">
            <v>-1.0000000000000002</v>
          </cell>
          <cell r="AS38">
            <v>-1.0000000000000002</v>
          </cell>
          <cell r="AT38">
            <v>-1.0000000000000002</v>
          </cell>
          <cell r="AU38">
            <v>-1.0000000000000002</v>
          </cell>
          <cell r="AV38">
            <v>-1.0000000000000002</v>
          </cell>
          <cell r="AW38">
            <v>-1.0000000000000002</v>
          </cell>
          <cell r="AX38">
            <v>-1.0000000000000002</v>
          </cell>
        </row>
        <row r="39">
          <cell r="B39" t="str">
            <v>Indiana</v>
          </cell>
          <cell r="E39">
            <v>8.5848805386756677</v>
          </cell>
          <cell r="F39">
            <v>9.1001298912985824</v>
          </cell>
          <cell r="G39">
            <v>9.2873734669483898</v>
          </cell>
          <cell r="H39">
            <v>9.5058262857058988</v>
          </cell>
          <cell r="I39">
            <v>9.7296720376246277</v>
          </cell>
          <cell r="J39">
            <v>9.959044533069406</v>
          </cell>
          <cell r="K39">
            <v>10.194080910866665</v>
          </cell>
          <cell r="M39">
            <v>1</v>
          </cell>
          <cell r="N39">
            <v>1</v>
          </cell>
          <cell r="O39">
            <v>1</v>
          </cell>
          <cell r="P39">
            <v>1</v>
          </cell>
          <cell r="Q39">
            <v>1</v>
          </cell>
          <cell r="AR39">
            <v>8.5848805386756677</v>
          </cell>
          <cell r="AS39">
            <v>9.1001298912985824</v>
          </cell>
          <cell r="AT39">
            <v>9.2873734669483898</v>
          </cell>
          <cell r="AU39">
            <v>9.5058262857058988</v>
          </cell>
          <cell r="AV39">
            <v>9.7296720376246277</v>
          </cell>
          <cell r="AW39">
            <v>9.959044533069406</v>
          </cell>
          <cell r="AX39">
            <v>10.194080910866665</v>
          </cell>
        </row>
        <row r="40">
          <cell r="B40" t="str">
            <v>South Dakota</v>
          </cell>
          <cell r="E40">
            <v>3.2175854374343542</v>
          </cell>
          <cell r="F40">
            <v>3.5624325608551191</v>
          </cell>
          <cell r="G40">
            <v>3.6357041087398825</v>
          </cell>
          <cell r="H40">
            <v>3.7145919859094203</v>
          </cell>
          <cell r="I40">
            <v>3.7953534163314879</v>
          </cell>
          <cell r="J40">
            <v>3.8780339223614493</v>
          </cell>
          <cell r="K40">
            <v>3.9626801440391506</v>
          </cell>
          <cell r="M40">
            <v>1</v>
          </cell>
          <cell r="N40">
            <v>1</v>
          </cell>
          <cell r="O40">
            <v>1</v>
          </cell>
          <cell r="P40">
            <v>1</v>
          </cell>
          <cell r="Q40">
            <v>1</v>
          </cell>
          <cell r="AR40">
            <v>3.2175854374343542</v>
          </cell>
          <cell r="AS40">
            <v>3.5624325608551191</v>
          </cell>
          <cell r="AT40">
            <v>3.6357041087398825</v>
          </cell>
          <cell r="AU40">
            <v>3.7145919859094203</v>
          </cell>
          <cell r="AV40">
            <v>3.7953534163314879</v>
          </cell>
          <cell r="AW40">
            <v>3.8780339223614493</v>
          </cell>
          <cell r="AX40">
            <v>3.9626801440391506</v>
          </cell>
        </row>
        <row r="41">
          <cell r="B41" t="str">
            <v>Waco</v>
          </cell>
          <cell r="E41">
            <v>6.2073426200100448</v>
          </cell>
          <cell r="F41">
            <v>6.6445148571701216</v>
          </cell>
          <cell r="G41">
            <v>5.0883553025975043</v>
          </cell>
          <cell r="H41">
            <v>0</v>
          </cell>
          <cell r="I41">
            <v>0</v>
          </cell>
          <cell r="J41">
            <v>0</v>
          </cell>
          <cell r="K41">
            <v>0</v>
          </cell>
          <cell r="M41">
            <v>0.75</v>
          </cell>
          <cell r="N41">
            <v>0</v>
          </cell>
          <cell r="O41">
            <v>0</v>
          </cell>
          <cell r="P41">
            <v>0</v>
          </cell>
          <cell r="Q41">
            <v>0</v>
          </cell>
          <cell r="AR41">
            <v>6.2073426200100448</v>
          </cell>
          <cell r="AS41">
            <v>6.6445148571701216</v>
          </cell>
          <cell r="AT41">
            <v>6.7844737367966728</v>
          </cell>
          <cell r="AU41">
            <v>6.9385856902998162</v>
          </cell>
          <cell r="AV41">
            <v>7.0964164731885839</v>
          </cell>
          <cell r="AW41">
            <v>7.2580570905905919</v>
          </cell>
          <cell r="AX41">
            <v>7.4236007894621947</v>
          </cell>
        </row>
        <row r="42">
          <cell r="B42" t="str">
            <v>Wylie</v>
          </cell>
          <cell r="E42">
            <v>0.94406178356305614</v>
          </cell>
          <cell r="F42">
            <v>0.98431124759623312</v>
          </cell>
          <cell r="G42">
            <v>1.0222746526099356</v>
          </cell>
          <cell r="H42">
            <v>1.0461615540448053</v>
          </cell>
          <cell r="I42">
            <v>1.0706304396953377</v>
          </cell>
          <cell r="J42">
            <v>1.0956956628200043</v>
          </cell>
          <cell r="K42">
            <v>1.1213719326222296</v>
          </cell>
          <cell r="M42">
            <v>1</v>
          </cell>
          <cell r="N42">
            <v>1</v>
          </cell>
          <cell r="O42">
            <v>1</v>
          </cell>
          <cell r="P42">
            <v>1</v>
          </cell>
          <cell r="Q42">
            <v>1</v>
          </cell>
          <cell r="AR42">
            <v>0.94406178356305614</v>
          </cell>
          <cell r="AS42">
            <v>0.98431124759623312</v>
          </cell>
          <cell r="AT42">
            <v>1.0222746526099356</v>
          </cell>
          <cell r="AU42">
            <v>1.0461615540448053</v>
          </cell>
          <cell r="AV42">
            <v>1.0706304396953377</v>
          </cell>
          <cell r="AW42">
            <v>1.0956956628200043</v>
          </cell>
          <cell r="AX42">
            <v>1.1213719326222296</v>
          </cell>
        </row>
        <row r="43">
          <cell r="B43" t="str">
            <v>California</v>
          </cell>
          <cell r="E43">
            <v>52.968294520473322</v>
          </cell>
          <cell r="F43">
            <v>56.857465617271622</v>
          </cell>
          <cell r="G43">
            <v>57.29947760999427</v>
          </cell>
          <cell r="H43">
            <v>58.079644945523555</v>
          </cell>
          <cell r="I43">
            <v>58.871200619054008</v>
          </cell>
          <cell r="J43">
            <v>59.674313695589589</v>
          </cell>
          <cell r="K43">
            <v>60.489155768167898</v>
          </cell>
          <cell r="M43">
            <v>1</v>
          </cell>
          <cell r="N43">
            <v>1</v>
          </cell>
          <cell r="O43">
            <v>1</v>
          </cell>
          <cell r="P43">
            <v>1</v>
          </cell>
          <cell r="Q43">
            <v>1</v>
          </cell>
          <cell r="AR43">
            <v>52.968294520473322</v>
          </cell>
          <cell r="AS43">
            <v>56.857465617271622</v>
          </cell>
          <cell r="AT43">
            <v>57.29947760999427</v>
          </cell>
          <cell r="AU43">
            <v>58.079644945523555</v>
          </cell>
          <cell r="AV43">
            <v>58.871200619054008</v>
          </cell>
          <cell r="AW43">
            <v>59.674313695589589</v>
          </cell>
          <cell r="AX43">
            <v>60.489155768167898</v>
          </cell>
        </row>
        <row r="44">
          <cell r="B44" t="str">
            <v>Fleet Plus</v>
          </cell>
          <cell r="E44">
            <v>1.6699724499999999</v>
          </cell>
          <cell r="F44">
            <v>1.50444702</v>
          </cell>
          <cell r="G44">
            <v>1.50444702</v>
          </cell>
          <cell r="H44">
            <v>1.50444702</v>
          </cell>
          <cell r="I44">
            <v>1.50444702</v>
          </cell>
          <cell r="J44">
            <v>1.50444702</v>
          </cell>
          <cell r="K44">
            <v>1.50444702</v>
          </cell>
          <cell r="AR44">
            <v>1.6699724499999999</v>
          </cell>
          <cell r="AS44">
            <v>1.50444702</v>
          </cell>
          <cell r="AT44">
            <v>1.50444702</v>
          </cell>
          <cell r="AU44">
            <v>1.50444702</v>
          </cell>
          <cell r="AV44">
            <v>1.50444702</v>
          </cell>
          <cell r="AW44">
            <v>1.50444702</v>
          </cell>
          <cell r="AX44">
            <v>1.50444702</v>
          </cell>
        </row>
        <row r="45">
          <cell r="B45" t="str">
            <v>Corporate (TX)</v>
          </cell>
          <cell r="E45">
            <v>6.6038879781422253</v>
          </cell>
          <cell r="F45">
            <v>6.6038879781422253</v>
          </cell>
          <cell r="G45">
            <v>6.6038879781422253</v>
          </cell>
          <cell r="H45">
            <v>6.6038879781422253</v>
          </cell>
          <cell r="I45">
            <v>6.6038879781422253</v>
          </cell>
          <cell r="J45">
            <v>6.6038879781422253</v>
          </cell>
          <cell r="K45">
            <v>6.6038879781422253</v>
          </cell>
          <cell r="AR45">
            <v>6.6038879781422253</v>
          </cell>
          <cell r="AS45">
            <v>6.6038879781422253</v>
          </cell>
          <cell r="AT45">
            <v>6.6038879781422253</v>
          </cell>
          <cell r="AU45">
            <v>6.6038879781422253</v>
          </cell>
          <cell r="AV45">
            <v>6.6038879781422253</v>
          </cell>
          <cell r="AW45">
            <v>6.6038879781422253</v>
          </cell>
          <cell r="AX45">
            <v>6.6038879781422253</v>
          </cell>
        </row>
        <row r="46">
          <cell r="B46" t="str">
            <v>Corporate (P+)</v>
          </cell>
          <cell r="E46">
            <v>0.10486307999999983</v>
          </cell>
          <cell r="F46">
            <v>0.12486913000000012</v>
          </cell>
          <cell r="G46">
            <v>0.12486913000000012</v>
          </cell>
          <cell r="H46">
            <v>0.12486913000000012</v>
          </cell>
          <cell r="I46">
            <v>0.12486913000000012</v>
          </cell>
          <cell r="J46">
            <v>0.12486913000000012</v>
          </cell>
          <cell r="K46">
            <v>0.12486913000000012</v>
          </cell>
          <cell r="AR46">
            <v>0.10486307999999983</v>
          </cell>
          <cell r="AS46">
            <v>0.12486913000000012</v>
          </cell>
          <cell r="AT46">
            <v>0.12486913000000012</v>
          </cell>
          <cell r="AU46">
            <v>0.12486913000000012</v>
          </cell>
          <cell r="AV46">
            <v>0.12486913000000012</v>
          </cell>
          <cell r="AW46">
            <v>0.12486913000000012</v>
          </cell>
          <cell r="AX46">
            <v>0.12486913000000012</v>
          </cell>
        </row>
        <row r="47">
          <cell r="B47" t="str">
            <v xml:space="preserve">Total Operating Costs </v>
          </cell>
          <cell r="E47">
            <v>116.22831401303901</v>
          </cell>
          <cell r="F47">
            <v>124.73102294244161</v>
          </cell>
          <cell r="G47">
            <v>125.10483427049608</v>
          </cell>
          <cell r="H47">
            <v>122.30088865880428</v>
          </cell>
          <cell r="I47">
            <v>124.63961493016139</v>
          </cell>
          <cell r="J47">
            <v>127.03406542039316</v>
          </cell>
          <cell r="K47">
            <v>129.48568629134829</v>
          </cell>
          <cell r="AR47">
            <v>116.22831401303901</v>
          </cell>
          <cell r="AS47">
            <v>124.73102294244161</v>
          </cell>
          <cell r="AT47">
            <v>126.80095270469526</v>
          </cell>
          <cell r="AU47">
            <v>129.23947434910411</v>
          </cell>
          <cell r="AV47">
            <v>131.73603140334998</v>
          </cell>
          <cell r="AW47">
            <v>134.29212251098377</v>
          </cell>
          <cell r="AX47">
            <v>136.90928708081046</v>
          </cell>
        </row>
        <row r="49">
          <cell r="B49" t="str">
            <v>Adjusted EBITDA:</v>
          </cell>
        </row>
        <row r="50">
          <cell r="B50" t="str">
            <v>Florida</v>
          </cell>
          <cell r="E50">
            <v>9.5729633452596747</v>
          </cell>
          <cell r="F50">
            <v>8.8419483298922863</v>
          </cell>
          <cell r="G50">
            <v>9.2247950253973539</v>
          </cell>
          <cell r="H50">
            <v>9.6622215862677763</v>
          </cell>
          <cell r="I50">
            <v>10.117536550928387</v>
          </cell>
          <cell r="J50">
            <v>10.591426429178886</v>
          </cell>
          <cell r="K50">
            <v>11.084603132565491</v>
          </cell>
          <cell r="M50">
            <v>1</v>
          </cell>
          <cell r="N50">
            <v>1</v>
          </cell>
          <cell r="O50">
            <v>1</v>
          </cell>
          <cell r="P50">
            <v>1</v>
          </cell>
          <cell r="Q50">
            <v>1</v>
          </cell>
          <cell r="AR50">
            <v>9.5729633452596747</v>
          </cell>
          <cell r="AS50">
            <v>8.8419483298922863</v>
          </cell>
          <cell r="AT50">
            <v>9.2247950253973539</v>
          </cell>
          <cell r="AU50">
            <v>9.6622215862677763</v>
          </cell>
          <cell r="AV50">
            <v>10.117536550928387</v>
          </cell>
          <cell r="AW50">
            <v>10.591426429178886</v>
          </cell>
          <cell r="AX50">
            <v>11.084603132565491</v>
          </cell>
        </row>
        <row r="51">
          <cell r="B51" t="str">
            <v>ETX Mgmt Agreement</v>
          </cell>
          <cell r="E51">
            <v>1.7239611778750001</v>
          </cell>
          <cell r="F51">
            <v>1.7427023828399288</v>
          </cell>
          <cell r="G51">
            <v>1.7575564304967273</v>
          </cell>
          <cell r="H51">
            <v>1.7727075591066619</v>
          </cell>
          <cell r="I51">
            <v>1.788161710288795</v>
          </cell>
          <cell r="J51">
            <v>1.8039249444945709</v>
          </cell>
          <cell r="K51">
            <v>1.8200034433844623</v>
          </cell>
          <cell r="M51">
            <v>1</v>
          </cell>
          <cell r="N51">
            <v>1</v>
          </cell>
          <cell r="O51">
            <v>1</v>
          </cell>
          <cell r="P51">
            <v>1</v>
          </cell>
          <cell r="Q51">
            <v>1</v>
          </cell>
          <cell r="AR51">
            <v>1.7239611778750001</v>
          </cell>
          <cell r="AS51">
            <v>1.7427023828399288</v>
          </cell>
          <cell r="AT51">
            <v>1.7575564304967273</v>
          </cell>
          <cell r="AU51">
            <v>1.7727075591066619</v>
          </cell>
          <cell r="AV51">
            <v>1.788161710288795</v>
          </cell>
          <cell r="AW51">
            <v>1.8039249444945709</v>
          </cell>
          <cell r="AX51">
            <v>1.8200034433844623</v>
          </cell>
        </row>
        <row r="52">
          <cell r="B52" t="str">
            <v>Indiana</v>
          </cell>
          <cell r="E52">
            <v>1.1817537013243327</v>
          </cell>
          <cell r="F52">
            <v>1.2289897787014161</v>
          </cell>
          <cell r="G52">
            <v>1.3300815777271109</v>
          </cell>
          <cell r="H52">
            <v>1.4044657497093813</v>
          </cell>
          <cell r="I52">
            <v>1.4815539313243844</v>
          </cell>
          <cell r="J52">
            <v>1.5614361926755465</v>
          </cell>
          <cell r="K52">
            <v>1.6442054656996352</v>
          </cell>
          <cell r="M52">
            <v>1</v>
          </cell>
          <cell r="N52">
            <v>1</v>
          </cell>
          <cell r="O52">
            <v>1</v>
          </cell>
          <cell r="P52">
            <v>1</v>
          </cell>
          <cell r="Q52">
            <v>1</v>
          </cell>
          <cell r="AR52">
            <v>1.1817537013243327</v>
          </cell>
          <cell r="AS52">
            <v>1.2289897787014161</v>
          </cell>
          <cell r="AT52">
            <v>1.3300815777271109</v>
          </cell>
          <cell r="AU52">
            <v>1.4044657497093813</v>
          </cell>
          <cell r="AV52">
            <v>1.4815539313243844</v>
          </cell>
          <cell r="AW52">
            <v>1.5614361926755465</v>
          </cell>
          <cell r="AX52">
            <v>1.6442054656996352</v>
          </cell>
        </row>
        <row r="53">
          <cell r="B53" t="str">
            <v>South Dakota</v>
          </cell>
          <cell r="E53">
            <v>0.73233729256564495</v>
          </cell>
          <cell r="F53">
            <v>1.2169548954015008</v>
          </cell>
          <cell r="G53">
            <v>1.2816064004042331</v>
          </cell>
          <cell r="H53">
            <v>1.329321727998531</v>
          </cell>
          <cell r="I53">
            <v>1.3786640809520185</v>
          </cell>
          <cell r="J53">
            <v>1.4296847279079465</v>
          </cell>
          <cell r="K53">
            <v>1.4824364960961953</v>
          </cell>
          <cell r="M53">
            <v>1</v>
          </cell>
          <cell r="N53">
            <v>1</v>
          </cell>
          <cell r="O53">
            <v>1</v>
          </cell>
          <cell r="P53">
            <v>1</v>
          </cell>
          <cell r="Q53">
            <v>1</v>
          </cell>
          <cell r="AR53">
            <v>0.73233729256564495</v>
          </cell>
          <cell r="AS53">
            <v>1.2169548954015008</v>
          </cell>
          <cell r="AT53">
            <v>1.2816064004042331</v>
          </cell>
          <cell r="AU53">
            <v>1.329321727998531</v>
          </cell>
          <cell r="AV53">
            <v>1.3786640809520185</v>
          </cell>
          <cell r="AW53">
            <v>1.4296847279079465</v>
          </cell>
          <cell r="AX53">
            <v>1.4824364960961953</v>
          </cell>
        </row>
        <row r="54">
          <cell r="B54" t="str">
            <v>Waco</v>
          </cell>
          <cell r="E54">
            <v>1.1135204999899571</v>
          </cell>
          <cell r="F54">
            <v>1.1578812525274307</v>
          </cell>
          <cell r="G54">
            <v>0.94986981873730958</v>
          </cell>
          <cell r="H54">
            <v>0</v>
          </cell>
          <cell r="I54">
            <v>0</v>
          </cell>
          <cell r="J54">
            <v>0</v>
          </cell>
          <cell r="K54">
            <v>0</v>
          </cell>
          <cell r="M54">
            <v>0.75</v>
          </cell>
          <cell r="N54">
            <v>0</v>
          </cell>
          <cell r="O54">
            <v>0</v>
          </cell>
          <cell r="P54">
            <v>0</v>
          </cell>
          <cell r="Q54">
            <v>0</v>
          </cell>
          <cell r="AR54">
            <v>1.1135204999899571</v>
          </cell>
          <cell r="AS54">
            <v>1.1578812525274307</v>
          </cell>
          <cell r="AT54">
            <v>1.2664930916497461</v>
          </cell>
          <cell r="AU54">
            <v>1.3503213622736838</v>
          </cell>
          <cell r="AV54">
            <v>1.437616598280635</v>
          </cell>
          <cell r="AW54">
            <v>1.528504805544997</v>
          </cell>
          <cell r="AX54">
            <v>1.6231163018446897</v>
          </cell>
        </row>
        <row r="55">
          <cell r="B55" t="str">
            <v>Wylie</v>
          </cell>
          <cell r="E55">
            <v>0.11052414643694385</v>
          </cell>
          <cell r="F55">
            <v>0.61403432861635554</v>
          </cell>
          <cell r="G55">
            <v>0.61459692878493111</v>
          </cell>
          <cell r="H55">
            <v>0.63030127657562984</v>
          </cell>
          <cell r="I55">
            <v>0.64651833819175231</v>
          </cell>
          <cell r="J55">
            <v>0.66326402877566371</v>
          </cell>
          <cell r="K55">
            <v>0.68055474444605923</v>
          </cell>
          <cell r="M55">
            <v>1</v>
          </cell>
          <cell r="N55">
            <v>1</v>
          </cell>
          <cell r="O55">
            <v>1</v>
          </cell>
          <cell r="P55">
            <v>1</v>
          </cell>
          <cell r="Q55">
            <v>1</v>
          </cell>
          <cell r="AR55">
            <v>0.11052414643694385</v>
          </cell>
          <cell r="AS55">
            <v>0.61403432861635554</v>
          </cell>
          <cell r="AT55">
            <v>0.61459692878493111</v>
          </cell>
          <cell r="AU55">
            <v>0.63030127657562984</v>
          </cell>
          <cell r="AV55">
            <v>0.64651833819175231</v>
          </cell>
          <cell r="AW55">
            <v>0.66326402877566371</v>
          </cell>
          <cell r="AX55">
            <v>0.68055474444605923</v>
          </cell>
        </row>
        <row r="56">
          <cell r="B56" t="str">
            <v>California</v>
          </cell>
          <cell r="E56">
            <v>3.1239072695266805</v>
          </cell>
          <cell r="F56">
            <v>4.5704030117906438</v>
          </cell>
          <cell r="G56">
            <v>4.9519365511576323</v>
          </cell>
          <cell r="H56">
            <v>5.0854264445740842</v>
          </cell>
          <cell r="I56">
            <v>5.2212614102119765</v>
          </cell>
          <cell r="J56">
            <v>5.3594788133897309</v>
          </cell>
          <cell r="K56">
            <v>5.5001165942979569</v>
          </cell>
          <cell r="M56">
            <v>1</v>
          </cell>
          <cell r="N56">
            <v>1</v>
          </cell>
          <cell r="O56">
            <v>1</v>
          </cell>
          <cell r="P56">
            <v>1</v>
          </cell>
          <cell r="Q56">
            <v>1</v>
          </cell>
          <cell r="AR56">
            <v>3.1239072695266805</v>
          </cell>
          <cell r="AS56">
            <v>4.5704030117906438</v>
          </cell>
          <cell r="AT56">
            <v>4.9519365511576323</v>
          </cell>
          <cell r="AU56">
            <v>5.0854264445740842</v>
          </cell>
          <cell r="AV56">
            <v>5.2212614102119765</v>
          </cell>
          <cell r="AW56">
            <v>5.3594788133897309</v>
          </cell>
          <cell r="AX56">
            <v>5.5001165942979569</v>
          </cell>
        </row>
        <row r="57">
          <cell r="B57" t="str">
            <v>Fleet Plus</v>
          </cell>
          <cell r="E57">
            <v>-0.5074470111863395</v>
          </cell>
          <cell r="F57">
            <v>-0.38999019999999973</v>
          </cell>
          <cell r="G57">
            <v>-0.38999019999999973</v>
          </cell>
          <cell r="H57">
            <v>-0.38999019999999973</v>
          </cell>
          <cell r="I57">
            <v>-0.38999019999999973</v>
          </cell>
          <cell r="J57">
            <v>-0.38999019999999973</v>
          </cell>
          <cell r="K57">
            <v>-0.38999019999999973</v>
          </cell>
          <cell r="AR57">
            <v>-0.5074470111863395</v>
          </cell>
          <cell r="AS57">
            <v>-0.38999019999999973</v>
          </cell>
          <cell r="AT57">
            <v>-0.38999019999999973</v>
          </cell>
          <cell r="AU57">
            <v>-0.38999019999999973</v>
          </cell>
          <cell r="AV57">
            <v>-0.38999019999999973</v>
          </cell>
          <cell r="AW57">
            <v>-0.38999019999999973</v>
          </cell>
          <cell r="AX57">
            <v>-0.38999019999999973</v>
          </cell>
        </row>
        <row r="58">
          <cell r="B58" t="str">
            <v>Corporate (TX)</v>
          </cell>
          <cell r="E58">
            <v>-6.6038879781422253</v>
          </cell>
          <cell r="F58">
            <v>-6.6038879781422253</v>
          </cell>
          <cell r="G58">
            <v>-6.6038879781422253</v>
          </cell>
          <cell r="H58">
            <v>-6.6038879781422253</v>
          </cell>
          <cell r="I58">
            <v>-6.6038879781422253</v>
          </cell>
          <cell r="J58">
            <v>-6.6038879781422253</v>
          </cell>
          <cell r="K58">
            <v>-6.6038879781422253</v>
          </cell>
          <cell r="AR58">
            <v>-6.6038879781422253</v>
          </cell>
          <cell r="AS58">
            <v>-6.6038879781422253</v>
          </cell>
          <cell r="AT58">
            <v>-6.6038879781422253</v>
          </cell>
          <cell r="AU58">
            <v>-6.6038879781422253</v>
          </cell>
          <cell r="AV58">
            <v>-6.6038879781422253</v>
          </cell>
          <cell r="AW58">
            <v>-6.6038879781422253</v>
          </cell>
          <cell r="AX58">
            <v>-6.6038879781422253</v>
          </cell>
        </row>
        <row r="59">
          <cell r="B59" t="str">
            <v>Corporate (P+)</v>
          </cell>
          <cell r="E59">
            <v>-7.9499119999999826E-2</v>
          </cell>
          <cell r="F59">
            <v>7.1431389999999886E-2</v>
          </cell>
          <cell r="G59">
            <v>7.1431389999999886E-2</v>
          </cell>
          <cell r="H59">
            <v>7.1431389999999886E-2</v>
          </cell>
          <cell r="I59">
            <v>7.1431389999999886E-2</v>
          </cell>
          <cell r="J59">
            <v>7.1431389999999886E-2</v>
          </cell>
          <cell r="K59">
            <v>7.1431389999999886E-2</v>
          </cell>
          <cell r="AR59">
            <v>-7.9499119999999826E-2</v>
          </cell>
          <cell r="AS59">
            <v>7.1431389999999886E-2</v>
          </cell>
          <cell r="AT59">
            <v>7.1431389999999886E-2</v>
          </cell>
          <cell r="AU59">
            <v>7.1431389999999886E-2</v>
          </cell>
          <cell r="AV59">
            <v>7.1431389999999886E-2</v>
          </cell>
          <cell r="AW59">
            <v>7.1431389999999886E-2</v>
          </cell>
          <cell r="AX59">
            <v>7.1431389999999886E-2</v>
          </cell>
        </row>
        <row r="60">
          <cell r="B60" t="str">
            <v xml:space="preserve">Total Adjusted EBITDA </v>
          </cell>
          <cell r="E60">
            <v>10.368133323649667</v>
          </cell>
          <cell r="F60">
            <v>12.45046719162734</v>
          </cell>
          <cell r="G60">
            <v>13.187995944563074</v>
          </cell>
          <cell r="H60">
            <v>12.961997556089841</v>
          </cell>
          <cell r="I60">
            <v>13.71124923375509</v>
          </cell>
          <cell r="J60">
            <v>14.486768348280123</v>
          </cell>
          <cell r="K60">
            <v>15.289473088347574</v>
          </cell>
          <cell r="AR60">
            <v>10.368133323649667</v>
          </cell>
          <cell r="AS60">
            <v>12.45046719162734</v>
          </cell>
          <cell r="AT60">
            <v>13.504619217475508</v>
          </cell>
          <cell r="AU60">
            <v>14.312318918363523</v>
          </cell>
          <cell r="AV60">
            <v>15.148865832035728</v>
          </cell>
          <cell r="AW60">
            <v>16.01527315382512</v>
          </cell>
          <cell r="AX60">
            <v>16.912589390192263</v>
          </cell>
        </row>
        <row r="62">
          <cell r="B62" t="str">
            <v>Depreciation:</v>
          </cell>
        </row>
        <row r="63">
          <cell r="B63" t="str">
            <v>Florida</v>
          </cell>
          <cell r="E63">
            <v>2.0609859999999998</v>
          </cell>
          <cell r="F63">
            <v>2.33013</v>
          </cell>
          <cell r="G63">
            <v>2.4046097407447693</v>
          </cell>
          <cell r="H63">
            <v>2.4813686114873397</v>
          </cell>
          <cell r="I63">
            <v>2.5606365378173082</v>
          </cell>
          <cell r="J63">
            <v>2.6424955344891874</v>
          </cell>
          <cell r="K63">
            <v>2.7270302971147791</v>
          </cell>
          <cell r="AR63">
            <v>2.0609859999999998</v>
          </cell>
          <cell r="AS63">
            <v>2.33013</v>
          </cell>
          <cell r="AT63">
            <v>2.4046097407447693</v>
          </cell>
          <cell r="AU63">
            <v>2.4813686114873397</v>
          </cell>
          <cell r="AV63">
            <v>2.5606365378173082</v>
          </cell>
          <cell r="AW63">
            <v>2.6424955344891874</v>
          </cell>
          <cell r="AX63">
            <v>2.7270302971147791</v>
          </cell>
        </row>
        <row r="64">
          <cell r="B64" t="str">
            <v>ETX Mgmt Agreement</v>
          </cell>
          <cell r="E64">
            <v>0</v>
          </cell>
          <cell r="F64">
            <v>0</v>
          </cell>
          <cell r="G64">
            <v>0</v>
          </cell>
          <cell r="H64">
            <v>0</v>
          </cell>
          <cell r="I64">
            <v>0</v>
          </cell>
          <cell r="J64">
            <v>0</v>
          </cell>
          <cell r="K64">
            <v>0</v>
          </cell>
          <cell r="AR64">
            <v>0</v>
          </cell>
          <cell r="AS64">
            <v>0</v>
          </cell>
          <cell r="AT64">
            <v>0</v>
          </cell>
          <cell r="AU64">
            <v>0</v>
          </cell>
          <cell r="AV64">
            <v>0</v>
          </cell>
          <cell r="AW64">
            <v>0</v>
          </cell>
          <cell r="AX64">
            <v>0</v>
          </cell>
        </row>
        <row r="65">
          <cell r="B65" t="str">
            <v>Indiana</v>
          </cell>
          <cell r="E65">
            <v>0.30531900000000001</v>
          </cell>
          <cell r="F65">
            <v>0.25217800000000001</v>
          </cell>
          <cell r="G65">
            <v>0.2592175000191646</v>
          </cell>
          <cell r="H65">
            <v>0.26636690374475591</v>
          </cell>
          <cell r="I65">
            <v>0.27371398848335976</v>
          </cell>
          <cell r="J65">
            <v>0.28126422011498597</v>
          </cell>
          <cell r="K65">
            <v>0.28902321565122668</v>
          </cell>
          <cell r="AR65">
            <v>0.30531900000000001</v>
          </cell>
          <cell r="AS65">
            <v>0.25217800000000001</v>
          </cell>
          <cell r="AT65">
            <v>0.2592175000191646</v>
          </cell>
          <cell r="AU65">
            <v>0.26636690374475591</v>
          </cell>
          <cell r="AV65">
            <v>0.27371398848335976</v>
          </cell>
          <cell r="AW65">
            <v>0.28126422011498597</v>
          </cell>
          <cell r="AX65">
            <v>0.28902321565122668</v>
          </cell>
        </row>
        <row r="66">
          <cell r="B66" t="str">
            <v>South Dakota</v>
          </cell>
          <cell r="E66">
            <v>0.37279800000000007</v>
          </cell>
          <cell r="F66">
            <v>0.36238900000000007</v>
          </cell>
          <cell r="G66">
            <v>0.37284678306745495</v>
          </cell>
          <cell r="H66">
            <v>0.38244625772630508</v>
          </cell>
          <cell r="I66">
            <v>0.3923111578594724</v>
          </cell>
          <cell r="J66">
            <v>0.40244882248132174</v>
          </cell>
          <cell r="K66">
            <v>0.41286679352996536</v>
          </cell>
          <cell r="AR66">
            <v>0.37279800000000007</v>
          </cell>
          <cell r="AS66">
            <v>0.36238900000000007</v>
          </cell>
          <cell r="AT66">
            <v>0.37284678306745495</v>
          </cell>
          <cell r="AU66">
            <v>0.38244625772630508</v>
          </cell>
          <cell r="AV66">
            <v>0.3923111578594724</v>
          </cell>
          <cell r="AW66">
            <v>0.40244882248132174</v>
          </cell>
          <cell r="AX66">
            <v>0.41286679352996536</v>
          </cell>
        </row>
        <row r="67">
          <cell r="B67" t="str">
            <v>Waco</v>
          </cell>
          <cell r="E67">
            <v>0.38236217</v>
          </cell>
          <cell r="F67">
            <v>0.39419273999999993</v>
          </cell>
          <cell r="G67">
            <v>0.40675103252062705</v>
          </cell>
          <cell r="H67">
            <v>0.41877225107787153</v>
          </cell>
          <cell r="I67">
            <v>0.43115651043554476</v>
          </cell>
          <cell r="J67">
            <v>0.44391477442581972</v>
          </cell>
          <cell r="K67">
            <v>0.45705833798860107</v>
          </cell>
          <cell r="AR67">
            <v>0.38236217</v>
          </cell>
          <cell r="AS67">
            <v>0.39419273999999993</v>
          </cell>
          <cell r="AT67">
            <v>0.40675103252062705</v>
          </cell>
          <cell r="AU67">
            <v>0.41877225107787153</v>
          </cell>
          <cell r="AV67">
            <v>0.43115651043554476</v>
          </cell>
          <cell r="AW67">
            <v>0.44391477442581972</v>
          </cell>
          <cell r="AX67">
            <v>0.45705833798860107</v>
          </cell>
        </row>
        <row r="68">
          <cell r="B68" t="str">
            <v>Wylie</v>
          </cell>
          <cell r="E68">
            <v>0</v>
          </cell>
          <cell r="F68">
            <v>0</v>
          </cell>
          <cell r="G68">
            <v>0</v>
          </cell>
          <cell r="H68">
            <v>0</v>
          </cell>
          <cell r="I68">
            <v>0</v>
          </cell>
          <cell r="J68">
            <v>0</v>
          </cell>
          <cell r="K68">
            <v>0</v>
          </cell>
          <cell r="AR68">
            <v>0</v>
          </cell>
          <cell r="AS68">
            <v>0</v>
          </cell>
          <cell r="AT68">
            <v>0</v>
          </cell>
          <cell r="AU68">
            <v>0</v>
          </cell>
          <cell r="AV68">
            <v>0</v>
          </cell>
          <cell r="AW68">
            <v>0</v>
          </cell>
          <cell r="AX68">
            <v>0</v>
          </cell>
        </row>
        <row r="69">
          <cell r="B69" t="str">
            <v>California</v>
          </cell>
          <cell r="E69">
            <v>3.4731300000000003</v>
          </cell>
          <cell r="F69">
            <v>1.357418</v>
          </cell>
          <cell r="G69">
            <v>1.3756165075182825</v>
          </cell>
          <cell r="H69">
            <v>1.3958062812493266</v>
          </cell>
          <cell r="I69">
            <v>1.4162995325167655</v>
          </cell>
          <cell r="J69">
            <v>1.4371008229673183</v>
          </cell>
          <cell r="K69">
            <v>1.4582147828149561</v>
          </cell>
          <cell r="AR69">
            <v>3.4731300000000003</v>
          </cell>
          <cell r="AS69">
            <v>1.357418</v>
          </cell>
          <cell r="AT69">
            <v>1.3756165075182825</v>
          </cell>
          <cell r="AU69">
            <v>1.3958062812493266</v>
          </cell>
          <cell r="AV69">
            <v>1.4162995325167655</v>
          </cell>
          <cell r="AW69">
            <v>1.4371008229673183</v>
          </cell>
          <cell r="AX69">
            <v>1.4582147828149561</v>
          </cell>
        </row>
        <row r="70">
          <cell r="B70" t="str">
            <v>Fleet Plus</v>
          </cell>
          <cell r="E70">
            <v>3.5992999999999993E-3</v>
          </cell>
          <cell r="F70">
            <v>4.4860999999999998E-3</v>
          </cell>
          <cell r="G70">
            <v>3.9682872715041126E-3</v>
          </cell>
          <cell r="H70">
            <v>3.9682872715041126E-3</v>
          </cell>
          <cell r="I70">
            <v>3.9682872715041126E-3</v>
          </cell>
          <cell r="J70">
            <v>3.9682872715041126E-3</v>
          </cell>
          <cell r="K70">
            <v>3.9682872715041126E-3</v>
          </cell>
          <cell r="AR70">
            <v>3.5992999999999993E-3</v>
          </cell>
          <cell r="AS70">
            <v>4.4860999999999998E-3</v>
          </cell>
          <cell r="AT70">
            <v>3.9682872715041126E-3</v>
          </cell>
          <cell r="AU70">
            <v>3.9682872715041126E-3</v>
          </cell>
          <cell r="AV70">
            <v>3.9682872715041126E-3</v>
          </cell>
          <cell r="AW70">
            <v>3.9682872715041126E-3</v>
          </cell>
          <cell r="AX70">
            <v>3.9682872715041126E-3</v>
          </cell>
        </row>
        <row r="71">
          <cell r="B71" t="str">
            <v>Corporate (TX)</v>
          </cell>
          <cell r="E71">
            <v>7.4999999999999997E-2</v>
          </cell>
          <cell r="F71">
            <v>7.4999999999999997E-2</v>
          </cell>
          <cell r="G71">
            <v>7.4999999999999997E-2</v>
          </cell>
          <cell r="H71">
            <v>7.4999999999999997E-2</v>
          </cell>
          <cell r="I71">
            <v>7.4999999999999997E-2</v>
          </cell>
          <cell r="J71">
            <v>7.4999999999999997E-2</v>
          </cell>
          <cell r="K71">
            <v>7.4999999999999997E-2</v>
          </cell>
          <cell r="AR71">
            <v>7.4999999999999997E-2</v>
          </cell>
          <cell r="AS71">
            <v>7.4999999999999997E-2</v>
          </cell>
          <cell r="AT71">
            <v>7.4999999999999997E-2</v>
          </cell>
          <cell r="AU71">
            <v>7.4999999999999997E-2</v>
          </cell>
          <cell r="AV71">
            <v>7.4999999999999997E-2</v>
          </cell>
          <cell r="AW71">
            <v>7.4999999999999997E-2</v>
          </cell>
          <cell r="AX71">
            <v>7.4999999999999997E-2</v>
          </cell>
        </row>
        <row r="72">
          <cell r="B72" t="str">
            <v>Corporate (P+)</v>
          </cell>
          <cell r="E72">
            <v>1.1159999999999998E-3</v>
          </cell>
          <cell r="F72">
            <v>1.1159999999999998E-3</v>
          </cell>
          <cell r="G72">
            <v>1.1159999999999998E-3</v>
          </cell>
          <cell r="H72">
            <v>1.1159999999999998E-3</v>
          </cell>
          <cell r="I72">
            <v>1.1159999999999998E-3</v>
          </cell>
          <cell r="J72">
            <v>1.1159999999999998E-3</v>
          </cell>
          <cell r="K72">
            <v>1.1159999999999998E-3</v>
          </cell>
          <cell r="AR72">
            <v>1.1159999999999998E-3</v>
          </cell>
          <cell r="AS72">
            <v>1.1159999999999998E-3</v>
          </cell>
          <cell r="AT72">
            <v>1.1159999999999998E-3</v>
          </cell>
          <cell r="AU72">
            <v>1.1159999999999998E-3</v>
          </cell>
          <cell r="AV72">
            <v>1.1159999999999998E-3</v>
          </cell>
          <cell r="AW72">
            <v>1.1159999999999998E-3</v>
          </cell>
          <cell r="AX72">
            <v>1.1159999999999998E-3</v>
          </cell>
        </row>
        <row r="73">
          <cell r="B73" t="str">
            <v>Total Depreciation:</v>
          </cell>
          <cell r="E73">
            <v>6.67431047</v>
          </cell>
          <cell r="F73">
            <v>4.7769098400000001</v>
          </cell>
          <cell r="G73">
            <v>4.8991258511418021</v>
          </cell>
          <cell r="H73">
            <v>5.0248445925571028</v>
          </cell>
          <cell r="I73">
            <v>5.1542020143839542</v>
          </cell>
          <cell r="J73">
            <v>5.2873084617501371</v>
          </cell>
          <cell r="K73">
            <v>5.4242777143710326</v>
          </cell>
          <cell r="AR73">
            <v>6.67431047</v>
          </cell>
          <cell r="AS73">
            <v>4.7769098400000001</v>
          </cell>
          <cell r="AT73">
            <v>4.8991258511418021</v>
          </cell>
          <cell r="AU73">
            <v>5.0248445925571028</v>
          </cell>
          <cell r="AV73">
            <v>5.1542020143839542</v>
          </cell>
          <cell r="AW73">
            <v>5.2873084617501371</v>
          </cell>
          <cell r="AX73">
            <v>5.4242777143710326</v>
          </cell>
        </row>
        <row r="75">
          <cell r="B75" t="str">
            <v>Capital Expenditures:</v>
          </cell>
          <cell r="M75" t="str">
            <v>ONLY INCLUDES IF FULL YEAR REMAINING</v>
          </cell>
        </row>
        <row r="76">
          <cell r="B76" t="str">
            <v>Florida</v>
          </cell>
          <cell r="E76">
            <v>0.21649153000000002</v>
          </cell>
          <cell r="F76">
            <v>1.455287</v>
          </cell>
          <cell r="G76">
            <v>1.548</v>
          </cell>
          <cell r="H76">
            <v>1.272</v>
          </cell>
          <cell r="I76">
            <v>1.423</v>
          </cell>
          <cell r="J76">
            <v>1.5740000000000001</v>
          </cell>
          <cell r="K76">
            <v>1.45425</v>
          </cell>
          <cell r="M76">
            <v>1</v>
          </cell>
          <cell r="N76">
            <v>1</v>
          </cell>
          <cell r="O76">
            <v>1</v>
          </cell>
          <cell r="P76">
            <v>1</v>
          </cell>
          <cell r="Q76">
            <v>1</v>
          </cell>
          <cell r="AR76">
            <v>0.21649153000000002</v>
          </cell>
          <cell r="AS76">
            <v>1.455287</v>
          </cell>
          <cell r="AT76">
            <v>1.548</v>
          </cell>
          <cell r="AU76">
            <v>1.272</v>
          </cell>
          <cell r="AV76">
            <v>1.423</v>
          </cell>
          <cell r="AW76">
            <v>1.5740000000000001</v>
          </cell>
          <cell r="AX76">
            <v>1.45425</v>
          </cell>
        </row>
        <row r="77">
          <cell r="B77" t="str">
            <v>ETX Mgmt Agreement</v>
          </cell>
          <cell r="E77">
            <v>0</v>
          </cell>
          <cell r="F77">
            <v>0</v>
          </cell>
          <cell r="G77">
            <v>0</v>
          </cell>
          <cell r="H77">
            <v>0</v>
          </cell>
          <cell r="I77">
            <v>0</v>
          </cell>
          <cell r="J77">
            <v>0</v>
          </cell>
          <cell r="K77">
            <v>0</v>
          </cell>
          <cell r="M77">
            <v>1</v>
          </cell>
          <cell r="N77">
            <v>1</v>
          </cell>
          <cell r="O77">
            <v>1</v>
          </cell>
          <cell r="P77">
            <v>1</v>
          </cell>
          <cell r="Q77">
            <v>1</v>
          </cell>
          <cell r="AR77">
            <v>0</v>
          </cell>
          <cell r="AS77">
            <v>0</v>
          </cell>
          <cell r="AT77">
            <v>0</v>
          </cell>
          <cell r="AU77">
            <v>0</v>
          </cell>
          <cell r="AV77">
            <v>0</v>
          </cell>
          <cell r="AW77">
            <v>0</v>
          </cell>
          <cell r="AX77">
            <v>0</v>
          </cell>
        </row>
        <row r="78">
          <cell r="B78" t="str">
            <v>Indiana</v>
          </cell>
          <cell r="E78">
            <v>0.32256246000000005</v>
          </cell>
          <cell r="F78">
            <v>0.44829000000000002</v>
          </cell>
          <cell r="G78">
            <v>0.441</v>
          </cell>
          <cell r="H78">
            <v>0.25700000000000001</v>
          </cell>
          <cell r="I78">
            <v>0</v>
          </cell>
          <cell r="J78">
            <v>0</v>
          </cell>
          <cell r="K78">
            <v>0.17449999999999999</v>
          </cell>
          <cell r="M78">
            <v>1</v>
          </cell>
          <cell r="N78">
            <v>1</v>
          </cell>
          <cell r="O78">
            <v>1</v>
          </cell>
          <cell r="P78">
            <v>1</v>
          </cell>
          <cell r="Q78">
            <v>1</v>
          </cell>
          <cell r="AR78">
            <v>0.32256246000000005</v>
          </cell>
          <cell r="AS78">
            <v>0.44829000000000002</v>
          </cell>
          <cell r="AT78">
            <v>0.441</v>
          </cell>
          <cell r="AU78">
            <v>0.25700000000000001</v>
          </cell>
          <cell r="AV78">
            <v>0</v>
          </cell>
          <cell r="AW78">
            <v>0</v>
          </cell>
          <cell r="AX78">
            <v>0.17449999999999999</v>
          </cell>
        </row>
        <row r="79">
          <cell r="B79" t="str">
            <v>South Dakota</v>
          </cell>
          <cell r="E79">
            <v>0</v>
          </cell>
          <cell r="F79">
            <v>0</v>
          </cell>
          <cell r="G79">
            <v>0</v>
          </cell>
          <cell r="H79">
            <v>0.26</v>
          </cell>
          <cell r="I79">
            <v>0.183</v>
          </cell>
          <cell r="J79">
            <v>0.57599999999999996</v>
          </cell>
          <cell r="K79">
            <v>0.25474999999999998</v>
          </cell>
          <cell r="M79">
            <v>1</v>
          </cell>
          <cell r="N79">
            <v>1</v>
          </cell>
          <cell r="O79">
            <v>1</v>
          </cell>
          <cell r="P79">
            <v>1</v>
          </cell>
          <cell r="Q79">
            <v>1</v>
          </cell>
          <cell r="AR79">
            <v>0</v>
          </cell>
          <cell r="AS79">
            <v>0</v>
          </cell>
          <cell r="AT79">
            <v>0</v>
          </cell>
          <cell r="AU79">
            <v>0.26</v>
          </cell>
          <cell r="AV79">
            <v>0.183</v>
          </cell>
          <cell r="AW79">
            <v>0.57599999999999996</v>
          </cell>
          <cell r="AX79">
            <v>0.25474999999999998</v>
          </cell>
        </row>
        <row r="80">
          <cell r="B80" t="str">
            <v>Waco</v>
          </cell>
          <cell r="E80">
            <v>0.4</v>
          </cell>
          <cell r="F80">
            <v>0.4</v>
          </cell>
          <cell r="G80">
            <v>0</v>
          </cell>
          <cell r="H80">
            <v>0</v>
          </cell>
          <cell r="I80">
            <v>0</v>
          </cell>
          <cell r="J80">
            <v>0</v>
          </cell>
          <cell r="K80">
            <v>0</v>
          </cell>
          <cell r="M80">
            <v>0</v>
          </cell>
          <cell r="N80">
            <v>0</v>
          </cell>
          <cell r="O80">
            <v>0</v>
          </cell>
          <cell r="P80">
            <v>0</v>
          </cell>
          <cell r="Q80">
            <v>0</v>
          </cell>
          <cell r="AR80">
            <v>0.4</v>
          </cell>
          <cell r="AS80">
            <v>0.4</v>
          </cell>
          <cell r="AT80">
            <v>0.4</v>
          </cell>
          <cell r="AU80">
            <v>0.4</v>
          </cell>
          <cell r="AV80">
            <v>0.4</v>
          </cell>
          <cell r="AW80">
            <v>0.4</v>
          </cell>
          <cell r="AX80">
            <v>0.4</v>
          </cell>
        </row>
        <row r="81">
          <cell r="B81" t="str">
            <v>Wylie</v>
          </cell>
          <cell r="E81">
            <v>0.1</v>
          </cell>
          <cell r="F81">
            <v>0.1</v>
          </cell>
          <cell r="G81">
            <v>0.1</v>
          </cell>
          <cell r="H81">
            <v>0.1</v>
          </cell>
          <cell r="I81">
            <v>0.1</v>
          </cell>
          <cell r="J81">
            <v>0.1</v>
          </cell>
          <cell r="K81">
            <v>0.1</v>
          </cell>
          <cell r="M81">
            <v>1</v>
          </cell>
          <cell r="N81">
            <v>1</v>
          </cell>
          <cell r="O81">
            <v>1</v>
          </cell>
          <cell r="P81">
            <v>1</v>
          </cell>
          <cell r="Q81">
            <v>1</v>
          </cell>
          <cell r="AR81">
            <v>0.1</v>
          </cell>
          <cell r="AS81">
            <v>0.1</v>
          </cell>
          <cell r="AT81">
            <v>0.1</v>
          </cell>
          <cell r="AU81">
            <v>0.1</v>
          </cell>
          <cell r="AV81">
            <v>0.1</v>
          </cell>
          <cell r="AW81">
            <v>0.1</v>
          </cell>
          <cell r="AX81">
            <v>0.1</v>
          </cell>
        </row>
        <row r="82">
          <cell r="B82" t="str">
            <v>California</v>
          </cell>
          <cell r="E82">
            <v>1.2097799999999999E-2</v>
          </cell>
          <cell r="F82">
            <v>1.8464694639999999</v>
          </cell>
          <cell r="G82">
            <v>1.8460000000000001</v>
          </cell>
          <cell r="H82">
            <v>8.5359999999999996</v>
          </cell>
          <cell r="I82">
            <v>0</v>
          </cell>
          <cell r="J82">
            <v>0</v>
          </cell>
          <cell r="K82">
            <v>2.5954999999999999</v>
          </cell>
          <cell r="M82">
            <v>1</v>
          </cell>
          <cell r="N82">
            <v>1</v>
          </cell>
          <cell r="O82">
            <v>1</v>
          </cell>
          <cell r="P82">
            <v>1</v>
          </cell>
          <cell r="Q82">
            <v>1</v>
          </cell>
          <cell r="AR82">
            <v>1.2097799999999999E-2</v>
          </cell>
          <cell r="AS82">
            <v>1.8464694639999999</v>
          </cell>
          <cell r="AT82">
            <v>1.8460000000000001</v>
          </cell>
          <cell r="AU82">
            <v>8.5359999999999996</v>
          </cell>
          <cell r="AV82">
            <v>0</v>
          </cell>
          <cell r="AW82">
            <v>0</v>
          </cell>
          <cell r="AX82">
            <v>2.5954999999999999</v>
          </cell>
        </row>
        <row r="83">
          <cell r="B83" t="str">
            <v>Fleet Plus</v>
          </cell>
          <cell r="E83">
            <v>0</v>
          </cell>
          <cell r="F83">
            <v>0</v>
          </cell>
          <cell r="G83">
            <v>0</v>
          </cell>
          <cell r="H83">
            <v>0</v>
          </cell>
          <cell r="I83">
            <v>0</v>
          </cell>
          <cell r="J83">
            <v>0</v>
          </cell>
          <cell r="K83">
            <v>0</v>
          </cell>
          <cell r="AR83">
            <v>0</v>
          </cell>
          <cell r="AS83">
            <v>0</v>
          </cell>
          <cell r="AT83">
            <v>0</v>
          </cell>
          <cell r="AU83">
            <v>0</v>
          </cell>
          <cell r="AV83">
            <v>0</v>
          </cell>
          <cell r="AW83">
            <v>0</v>
          </cell>
          <cell r="AX83">
            <v>0</v>
          </cell>
        </row>
        <row r="84">
          <cell r="B84" t="str">
            <v>Corporate (TX)</v>
          </cell>
          <cell r="E84">
            <v>3.2475000000000001</v>
          </cell>
          <cell r="F84">
            <v>0</v>
          </cell>
          <cell r="G84">
            <v>0</v>
          </cell>
          <cell r="H84">
            <v>0</v>
          </cell>
          <cell r="I84">
            <v>0</v>
          </cell>
          <cell r="J84">
            <v>0</v>
          </cell>
          <cell r="K84">
            <v>0</v>
          </cell>
          <cell r="AR84">
            <v>3.2475000000000001</v>
          </cell>
          <cell r="AS84">
            <v>0</v>
          </cell>
          <cell r="AT84">
            <v>0</v>
          </cell>
          <cell r="AU84">
            <v>0</v>
          </cell>
          <cell r="AV84">
            <v>0</v>
          </cell>
          <cell r="AW84">
            <v>0</v>
          </cell>
          <cell r="AX84">
            <v>0</v>
          </cell>
        </row>
        <row r="85">
          <cell r="B85" t="str">
            <v>Corporate (P+)</v>
          </cell>
          <cell r="E85">
            <v>0</v>
          </cell>
          <cell r="F85">
            <v>0</v>
          </cell>
          <cell r="G85">
            <v>0</v>
          </cell>
          <cell r="H85">
            <v>0</v>
          </cell>
          <cell r="I85">
            <v>0</v>
          </cell>
          <cell r="J85">
            <v>0</v>
          </cell>
          <cell r="K85">
            <v>0</v>
          </cell>
          <cell r="AR85">
            <v>0</v>
          </cell>
          <cell r="AS85">
            <v>0</v>
          </cell>
          <cell r="AT85">
            <v>0</v>
          </cell>
          <cell r="AU85">
            <v>0</v>
          </cell>
          <cell r="AV85">
            <v>0</v>
          </cell>
          <cell r="AW85">
            <v>0</v>
          </cell>
          <cell r="AX85">
            <v>0</v>
          </cell>
        </row>
        <row r="86">
          <cell r="B86" t="str">
            <v>Total CapEx:</v>
          </cell>
          <cell r="E86">
            <v>4.2986517900000001</v>
          </cell>
          <cell r="F86">
            <v>4.2500464640000004</v>
          </cell>
          <cell r="G86">
            <v>3.9350000000000001</v>
          </cell>
          <cell r="H86">
            <v>10.424999999999999</v>
          </cell>
          <cell r="I86">
            <v>1.7060000000000002</v>
          </cell>
          <cell r="J86">
            <v>2.25</v>
          </cell>
          <cell r="K86">
            <v>4.5790000000000006</v>
          </cell>
          <cell r="AR86">
            <v>4.2986517900000001</v>
          </cell>
          <cell r="AS86">
            <v>4.2500464640000004</v>
          </cell>
          <cell r="AT86">
            <v>4.3350000000000009</v>
          </cell>
          <cell r="AU86">
            <v>10.824999999999999</v>
          </cell>
          <cell r="AV86">
            <v>2.1060000000000003</v>
          </cell>
          <cell r="AW86">
            <v>2.65</v>
          </cell>
          <cell r="AX86">
            <v>4.9790000000000001</v>
          </cell>
        </row>
        <row r="88">
          <cell r="B88" t="str">
            <v>OCF (EBITDA - CapEx):</v>
          </cell>
        </row>
        <row r="89">
          <cell r="B89" t="str">
            <v>Florida</v>
          </cell>
          <cell r="E89">
            <v>9.356471815259674</v>
          </cell>
          <cell r="F89">
            <v>7.3866613298922861</v>
          </cell>
          <cell r="G89">
            <v>7.6767950253973538</v>
          </cell>
          <cell r="H89">
            <v>8.390221586267776</v>
          </cell>
          <cell r="I89">
            <v>8.6945365509283867</v>
          </cell>
          <cell r="J89">
            <v>9.0174264291788866</v>
          </cell>
          <cell r="K89">
            <v>9.6303531325654905</v>
          </cell>
        </row>
        <row r="90">
          <cell r="B90" t="str">
            <v>ETX Mgmt Agreement</v>
          </cell>
          <cell r="E90">
            <v>1.7239611778750001</v>
          </cell>
          <cell r="F90">
            <v>1.7427023828399288</v>
          </cell>
          <cell r="G90">
            <v>1.7575564304967273</v>
          </cell>
          <cell r="H90">
            <v>1.7727075591066619</v>
          </cell>
          <cell r="I90">
            <v>1.788161710288795</v>
          </cell>
          <cell r="J90">
            <v>1.8039249444945709</v>
          </cell>
          <cell r="K90">
            <v>1.8200034433844623</v>
          </cell>
        </row>
        <row r="91">
          <cell r="B91" t="str">
            <v>Indiana</v>
          </cell>
          <cell r="E91">
            <v>0.85919124132433256</v>
          </cell>
          <cell r="F91">
            <v>0.78069977870141605</v>
          </cell>
          <cell r="G91">
            <v>0.88908157772711083</v>
          </cell>
          <cell r="H91">
            <v>1.1474657497093812</v>
          </cell>
          <cell r="I91">
            <v>1.4815539313243844</v>
          </cell>
          <cell r="J91">
            <v>1.5614361926755465</v>
          </cell>
          <cell r="K91">
            <v>1.4697054656996351</v>
          </cell>
          <cell r="BO91" t="str">
            <v>California</v>
          </cell>
        </row>
        <row r="92">
          <cell r="B92" t="str">
            <v>South Dakota</v>
          </cell>
          <cell r="E92">
            <v>0.73233729256564495</v>
          </cell>
          <cell r="F92">
            <v>1.2169548954015008</v>
          </cell>
          <cell r="G92">
            <v>1.2816064004042331</v>
          </cell>
          <cell r="H92">
            <v>1.069321727998531</v>
          </cell>
          <cell r="I92">
            <v>1.1956640809520185</v>
          </cell>
          <cell r="J92">
            <v>0.85368472790794658</v>
          </cell>
          <cell r="K92">
            <v>1.2276864960961953</v>
          </cell>
        </row>
        <row r="93">
          <cell r="B93" t="str">
            <v>Waco</v>
          </cell>
          <cell r="E93">
            <v>0.71352049998995704</v>
          </cell>
          <cell r="F93">
            <v>0.75788125252743066</v>
          </cell>
          <cell r="G93">
            <v>0.94986981873730958</v>
          </cell>
          <cell r="H93">
            <v>0</v>
          </cell>
          <cell r="I93">
            <v>0</v>
          </cell>
          <cell r="J93">
            <v>0</v>
          </cell>
          <cell r="K93">
            <v>0</v>
          </cell>
        </row>
        <row r="94">
          <cell r="B94" t="str">
            <v>Wylie</v>
          </cell>
          <cell r="E94">
            <v>1.052414643694384E-2</v>
          </cell>
          <cell r="F94">
            <v>0.51403432861635556</v>
          </cell>
          <cell r="G94">
            <v>0.51459692878493113</v>
          </cell>
          <cell r="H94">
            <v>0.53030127657562987</v>
          </cell>
          <cell r="I94">
            <v>0.54651833819175233</v>
          </cell>
          <cell r="J94">
            <v>0.56326402877566373</v>
          </cell>
          <cell r="K94">
            <v>0.58055474444605926</v>
          </cell>
        </row>
        <row r="95">
          <cell r="B95" t="str">
            <v>California</v>
          </cell>
          <cell r="E95">
            <v>3.1118094695266807</v>
          </cell>
          <cell r="F95">
            <v>2.7239335477906437</v>
          </cell>
          <cell r="G95">
            <v>3.1059365511576322</v>
          </cell>
          <cell r="H95">
            <v>-3.4505735554259154</v>
          </cell>
          <cell r="I95">
            <v>5.2212614102119765</v>
          </cell>
          <cell r="J95">
            <v>5.3594788133897309</v>
          </cell>
          <cell r="K95">
            <v>2.9046165942979569</v>
          </cell>
        </row>
        <row r="96">
          <cell r="B96" t="str">
            <v>Fleet Plus</v>
          </cell>
          <cell r="E96">
            <v>-0.5074470111863395</v>
          </cell>
          <cell r="F96">
            <v>-0.38999019999999973</v>
          </cell>
          <cell r="G96">
            <v>-0.38999019999999973</v>
          </cell>
          <cell r="H96">
            <v>-0.38999019999999973</v>
          </cell>
          <cell r="I96">
            <v>-0.38999019999999973</v>
          </cell>
          <cell r="J96">
            <v>-0.38999019999999973</v>
          </cell>
          <cell r="K96">
            <v>-0.38999019999999973</v>
          </cell>
        </row>
        <row r="97">
          <cell r="B97" t="str">
            <v>Corporate (TX)</v>
          </cell>
          <cell r="E97">
            <v>-9.8513879781422258</v>
          </cell>
          <cell r="F97">
            <v>-6.6038879781422253</v>
          </cell>
          <cell r="G97">
            <v>-6.6038879781422253</v>
          </cell>
          <cell r="H97">
            <v>-6.6038879781422253</v>
          </cell>
          <cell r="I97">
            <v>-6.6038879781422253</v>
          </cell>
          <cell r="J97">
            <v>-6.6038879781422253</v>
          </cell>
          <cell r="K97">
            <v>-6.6038879781422253</v>
          </cell>
        </row>
        <row r="98">
          <cell r="B98" t="str">
            <v>Corporate (P+)</v>
          </cell>
          <cell r="E98">
            <v>-7.9499119999999826E-2</v>
          </cell>
          <cell r="F98">
            <v>7.1431389999999886E-2</v>
          </cell>
          <cell r="G98">
            <v>7.1431389999999886E-2</v>
          </cell>
          <cell r="H98">
            <v>7.1431389999999886E-2</v>
          </cell>
          <cell r="I98">
            <v>7.1431389999999886E-2</v>
          </cell>
          <cell r="J98">
            <v>7.1431389999999886E-2</v>
          </cell>
          <cell r="K98">
            <v>7.1431389999999886E-2</v>
          </cell>
        </row>
        <row r="99">
          <cell r="B99" t="str">
            <v>Total OCF:</v>
          </cell>
          <cell r="E99">
            <v>6.0694815336496717</v>
          </cell>
          <cell r="F99">
            <v>8.2004207276273391</v>
          </cell>
          <cell r="G99">
            <v>9.2529959445630716</v>
          </cell>
          <cell r="H99">
            <v>2.5369975560898395</v>
          </cell>
          <cell r="I99">
            <v>12.005249233755091</v>
          </cell>
          <cell r="J99">
            <v>12.236768348280123</v>
          </cell>
          <cell r="K99">
            <v>10.710473088347577</v>
          </cell>
        </row>
        <row r="109">
          <cell r="B109" t="str">
            <v>Public Utility</v>
          </cell>
          <cell r="F109">
            <v>10.070938108593703</v>
          </cell>
        </row>
        <row r="110">
          <cell r="B110" t="str">
            <v>Fee for Service</v>
          </cell>
          <cell r="F110">
            <v>7.5592734883359309</v>
          </cell>
        </row>
        <row r="111">
          <cell r="B111" t="str">
            <v>Alliance Model</v>
          </cell>
          <cell r="F111">
            <v>1.7427023828399288</v>
          </cell>
        </row>
        <row r="113">
          <cell r="B113" t="str">
            <v>Public Utility</v>
          </cell>
          <cell r="F113">
            <v>10.070938108593703</v>
          </cell>
        </row>
        <row r="114">
          <cell r="B114" t="str">
            <v>Fee for Service</v>
          </cell>
          <cell r="F114">
            <v>2.9888704765452871</v>
          </cell>
        </row>
        <row r="115">
          <cell r="B115" t="str">
            <v>Alliance Model</v>
          </cell>
          <cell r="F115">
            <v>1.7427023828399288</v>
          </cell>
        </row>
        <row r="117">
          <cell r="F117" t="str">
            <v xml:space="preserve">Revenue </v>
          </cell>
        </row>
        <row r="118">
          <cell r="B118" t="str">
            <v>California</v>
          </cell>
          <cell r="F118">
            <v>60.930652527434205</v>
          </cell>
        </row>
        <row r="119">
          <cell r="B119" t="str">
            <v>Florida</v>
          </cell>
          <cell r="F119">
            <v>49.190912969999999</v>
          </cell>
        </row>
        <row r="120">
          <cell r="B120" t="str">
            <v>Indiana</v>
          </cell>
          <cell r="F120">
            <v>10.329119670000001</v>
          </cell>
        </row>
        <row r="121">
          <cell r="B121" t="str">
            <v>Waco</v>
          </cell>
          <cell r="F121">
            <v>7.7461829142276599</v>
          </cell>
        </row>
        <row r="122">
          <cell r="B122" t="str">
            <v>South Dakota</v>
          </cell>
          <cell r="F122">
            <v>4.8510017717007798</v>
          </cell>
        </row>
        <row r="123">
          <cell r="B123" t="str">
            <v>ETX Mgmt Agreement</v>
          </cell>
          <cell r="F123">
            <v>1.72561853118506</v>
          </cell>
          <cell r="BO123" t="str">
            <v xml:space="preserve">Indiana </v>
          </cell>
        </row>
        <row r="124">
          <cell r="B124" t="str">
            <v>Wylie</v>
          </cell>
          <cell r="F124">
            <v>1.5434671818269201</v>
          </cell>
        </row>
        <row r="126">
          <cell r="F126" t="str">
            <v>OCF</v>
          </cell>
        </row>
        <row r="127">
          <cell r="B127" t="str">
            <v>California</v>
          </cell>
          <cell r="F127" t="e">
            <v>#REF!</v>
          </cell>
        </row>
        <row r="128">
          <cell r="B128" t="str">
            <v>Florida</v>
          </cell>
          <cell r="F128" t="e">
            <v>#N/A</v>
          </cell>
        </row>
        <row r="129">
          <cell r="B129" t="str">
            <v>Indiana</v>
          </cell>
          <cell r="F129" t="e">
            <v>#N/A</v>
          </cell>
        </row>
        <row r="130">
          <cell r="B130" t="str">
            <v>Waco</v>
          </cell>
          <cell r="F130" t="e">
            <v>#REF!</v>
          </cell>
        </row>
        <row r="131">
          <cell r="B131" t="str">
            <v>South Dakota</v>
          </cell>
          <cell r="F131" t="e">
            <v>#N/A</v>
          </cell>
        </row>
        <row r="132">
          <cell r="B132" t="str">
            <v>ETX Mgmt Agreement</v>
          </cell>
          <cell r="F132" t="e">
            <v>#N/A</v>
          </cell>
        </row>
        <row r="133">
          <cell r="B133" t="str">
            <v>Wylie</v>
          </cell>
          <cell r="F133" t="e">
            <v>#REF!</v>
          </cell>
        </row>
        <row r="135">
          <cell r="F135" t="str">
            <v>EBITDA</v>
          </cell>
          <cell r="G135">
            <v>2022</v>
          </cell>
        </row>
        <row r="136">
          <cell r="B136" t="str">
            <v>California</v>
          </cell>
          <cell r="F136" t="e">
            <v>#REF!</v>
          </cell>
          <cell r="G136" t="e">
            <v>#REF!</v>
          </cell>
        </row>
        <row r="137">
          <cell r="B137" t="str">
            <v>Florida</v>
          </cell>
          <cell r="F137" t="e">
            <v>#N/A</v>
          </cell>
          <cell r="G137" t="e">
            <v>#N/A</v>
          </cell>
        </row>
        <row r="138">
          <cell r="B138" t="str">
            <v>Indiana</v>
          </cell>
          <cell r="F138" t="e">
            <v>#N/A</v>
          </cell>
          <cell r="G138" t="e">
            <v>#N/A</v>
          </cell>
        </row>
        <row r="139">
          <cell r="B139" t="str">
            <v>Waco</v>
          </cell>
          <cell r="F139" t="e">
            <v>#REF!</v>
          </cell>
          <cell r="G139" t="e">
            <v>#REF!</v>
          </cell>
        </row>
        <row r="140">
          <cell r="B140" t="str">
            <v>South Dakota</v>
          </cell>
          <cell r="F140" t="e">
            <v>#N/A</v>
          </cell>
          <cell r="G140" t="e">
            <v>#N/A</v>
          </cell>
        </row>
        <row r="141">
          <cell r="B141" t="str">
            <v>ETX Mgmt Agreement</v>
          </cell>
          <cell r="F141" t="e">
            <v>#N/A</v>
          </cell>
          <cell r="G141" t="e">
            <v>#N/A</v>
          </cell>
        </row>
        <row r="142">
          <cell r="B142" t="str">
            <v>Wylie</v>
          </cell>
          <cell r="F142" t="e">
            <v>#REF!</v>
          </cell>
          <cell r="G142" t="e">
            <v>#REF!</v>
          </cell>
        </row>
        <row r="143">
          <cell r="B143" t="str">
            <v>Acquisitions</v>
          </cell>
          <cell r="G143">
            <v>7.2240401599999995</v>
          </cell>
        </row>
        <row r="144">
          <cell r="B144" t="str">
            <v>RFPs</v>
          </cell>
          <cell r="G144">
            <v>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5">
          <cell r="B5" t="str">
            <v>EBITDA Waterfall - FY17</v>
          </cell>
          <cell r="E5" t="str">
            <v>ETMC</v>
          </cell>
          <cell r="I5" t="str">
            <v>Paramedics Plus</v>
          </cell>
        </row>
        <row r="6">
          <cell r="B6" t="str">
            <v>$ in 000s</v>
          </cell>
          <cell r="C6" t="str">
            <v>Ardent</v>
          </cell>
          <cell r="E6" t="str">
            <v>Waco</v>
          </cell>
          <cell r="F6" t="str">
            <v>Wiley</v>
          </cell>
          <cell r="G6" t="str">
            <v>Corp</v>
          </cell>
          <cell r="I6" t="str">
            <v>CA</v>
          </cell>
          <cell r="J6" t="str">
            <v>FL</v>
          </cell>
          <cell r="K6" t="str">
            <v>IN</v>
          </cell>
          <cell r="L6" t="str">
            <v>SD</v>
          </cell>
          <cell r="M6" t="str">
            <v>Corp</v>
          </cell>
          <cell r="O6" t="str">
            <v>Fleet Plus</v>
          </cell>
          <cell r="Q6" t="str">
            <v>Total</v>
          </cell>
          <cell r="S6" t="str">
            <v>Total</v>
          </cell>
        </row>
        <row r="7">
          <cell r="B7" t="str">
            <v>Unadjusted EBITDA</v>
          </cell>
          <cell r="C7">
            <v>6546.9029020604012</v>
          </cell>
          <cell r="E7">
            <v>139.19999999999999</v>
          </cell>
          <cell r="F7">
            <v>237.79999186883765</v>
          </cell>
          <cell r="G7">
            <v>-9231.19542</v>
          </cell>
          <cell r="I7">
            <v>-2756.9508500000388</v>
          </cell>
          <cell r="J7">
            <v>7317.7476700000034</v>
          </cell>
          <cell r="K7">
            <v>1062.3833500000037</v>
          </cell>
          <cell r="L7">
            <v>1052.3309899999995</v>
          </cell>
          <cell r="M7">
            <v>-4147.7582799999982</v>
          </cell>
          <cell r="O7">
            <v>204.88067000000089</v>
          </cell>
          <cell r="Q7">
            <v>-6121.5618781311923</v>
          </cell>
          <cell r="S7">
            <v>425.34102392921159</v>
          </cell>
        </row>
        <row r="8">
          <cell r="B8" t="str">
            <v>Margin</v>
          </cell>
          <cell r="C8">
            <v>26.496808771096767</v>
          </cell>
          <cell r="E8">
            <v>1.8032717249977723</v>
          </cell>
          <cell r="F8">
            <v>21.603525603304174</v>
          </cell>
          <cell r="G8" t="str">
            <v>NA</v>
          </cell>
          <cell r="I8">
            <v>-4.8401656711610093</v>
          </cell>
          <cell r="J8">
            <v>13.646349617089273</v>
          </cell>
          <cell r="K8">
            <v>10.309149935298141</v>
          </cell>
          <cell r="L8">
            <v>22.873260347198077</v>
          </cell>
          <cell r="M8" t="str">
            <v>NA</v>
          </cell>
          <cell r="O8">
            <v>2.8997146397437605</v>
          </cell>
          <cell r="Q8">
            <v>-4.3299987497004127</v>
          </cell>
          <cell r="S8">
            <v>0.25610013517889924</v>
          </cell>
        </row>
        <row r="10">
          <cell r="B10" t="str">
            <v>Adjustments:</v>
          </cell>
        </row>
        <row r="11">
          <cell r="B11" t="str">
            <v>Legal fees</v>
          </cell>
          <cell r="C11">
            <v>0</v>
          </cell>
          <cell r="E11">
            <v>0</v>
          </cell>
          <cell r="F11">
            <v>0</v>
          </cell>
          <cell r="G11">
            <v>0</v>
          </cell>
          <cell r="I11">
            <v>0</v>
          </cell>
          <cell r="J11">
            <v>0</v>
          </cell>
          <cell r="K11">
            <v>44.784279999999995</v>
          </cell>
          <cell r="L11">
            <v>0</v>
          </cell>
          <cell r="M11">
            <v>3469.6693299999997</v>
          </cell>
          <cell r="O11">
            <v>0</v>
          </cell>
          <cell r="Q11">
            <v>3514.4536099999996</v>
          </cell>
          <cell r="S11">
            <v>3514.4536099999996</v>
          </cell>
        </row>
        <row r="12">
          <cell r="B12" t="str">
            <v>Retention incentive programs</v>
          </cell>
          <cell r="C12">
            <v>0</v>
          </cell>
          <cell r="E12">
            <v>0</v>
          </cell>
          <cell r="F12">
            <v>0</v>
          </cell>
          <cell r="G12">
            <v>0</v>
          </cell>
          <cell r="I12">
            <v>0</v>
          </cell>
          <cell r="J12">
            <v>799.99780000000169</v>
          </cell>
          <cell r="K12">
            <v>121.12558</v>
          </cell>
          <cell r="L12">
            <v>0</v>
          </cell>
          <cell r="M12">
            <v>0</v>
          </cell>
          <cell r="O12">
            <v>0</v>
          </cell>
          <cell r="Q12">
            <v>921.1233800000017</v>
          </cell>
          <cell r="S12">
            <v>921.1233800000017</v>
          </cell>
        </row>
        <row r="13">
          <cell r="B13" t="str">
            <v>State taxes</v>
          </cell>
          <cell r="C13">
            <v>0</v>
          </cell>
          <cell r="E13">
            <v>0</v>
          </cell>
          <cell r="F13">
            <v>0</v>
          </cell>
          <cell r="G13">
            <v>0</v>
          </cell>
          <cell r="I13">
            <v>-792.24853000000007</v>
          </cell>
          <cell r="J13">
            <v>244.90200000000002</v>
          </cell>
          <cell r="K13">
            <v>65.691999999999993</v>
          </cell>
          <cell r="L13">
            <v>0</v>
          </cell>
          <cell r="M13">
            <v>0</v>
          </cell>
          <cell r="O13">
            <v>0</v>
          </cell>
          <cell r="Q13">
            <v>-481.65453000000002</v>
          </cell>
          <cell r="S13">
            <v>-481.65453000000002</v>
          </cell>
        </row>
        <row r="14">
          <cell r="B14" t="str">
            <v>Intercompany profit from Fleet Sales</v>
          </cell>
          <cell r="C14">
            <v>0</v>
          </cell>
          <cell r="E14">
            <v>0</v>
          </cell>
          <cell r="F14">
            <v>0</v>
          </cell>
          <cell r="G14">
            <v>0</v>
          </cell>
          <cell r="I14">
            <v>0</v>
          </cell>
          <cell r="J14">
            <v>0</v>
          </cell>
          <cell r="K14">
            <v>0</v>
          </cell>
          <cell r="L14">
            <v>0</v>
          </cell>
          <cell r="M14">
            <v>0</v>
          </cell>
          <cell r="O14">
            <v>-520.95015000000046</v>
          </cell>
          <cell r="Q14">
            <v>-520.95015000000046</v>
          </cell>
          <cell r="S14">
            <v>-520.95015000000046</v>
          </cell>
        </row>
        <row r="15">
          <cell r="B15" t="str">
            <v>Relocation &amp; BDO QofE</v>
          </cell>
          <cell r="C15">
            <v>4.62</v>
          </cell>
          <cell r="E15">
            <v>0</v>
          </cell>
          <cell r="F15">
            <v>0</v>
          </cell>
          <cell r="G15">
            <v>0</v>
          </cell>
          <cell r="I15">
            <v>0</v>
          </cell>
          <cell r="J15">
            <v>0</v>
          </cell>
          <cell r="K15">
            <v>0</v>
          </cell>
          <cell r="L15">
            <v>0</v>
          </cell>
          <cell r="M15">
            <v>152.42278999999996</v>
          </cell>
          <cell r="O15">
            <v>0</v>
          </cell>
          <cell r="Q15">
            <v>152.42278999999996</v>
          </cell>
          <cell r="S15">
            <v>157.04278999999997</v>
          </cell>
        </row>
        <row r="16">
          <cell r="B16" t="str">
            <v>CFO and Director of HR and Safety salary</v>
          </cell>
          <cell r="C16">
            <v>0</v>
          </cell>
          <cell r="E16">
            <v>0</v>
          </cell>
          <cell r="F16">
            <v>0</v>
          </cell>
          <cell r="G16">
            <v>-65.104166666666671</v>
          </cell>
          <cell r="I16">
            <v>0</v>
          </cell>
          <cell r="J16">
            <v>0</v>
          </cell>
          <cell r="K16">
            <v>0</v>
          </cell>
          <cell r="L16">
            <v>0</v>
          </cell>
          <cell r="M16">
            <v>0</v>
          </cell>
          <cell r="O16">
            <v>0</v>
          </cell>
          <cell r="Q16">
            <v>-65.104166666666671</v>
          </cell>
          <cell r="S16">
            <v>-65.104166666666671</v>
          </cell>
        </row>
        <row r="17">
          <cell r="B17" t="str">
            <v>(Gain)/loss on sale of assets</v>
          </cell>
          <cell r="C17">
            <v>-26.271340000000002</v>
          </cell>
          <cell r="E17">
            <v>0</v>
          </cell>
          <cell r="F17">
            <v>0</v>
          </cell>
          <cell r="G17">
            <v>0</v>
          </cell>
          <cell r="I17">
            <v>0</v>
          </cell>
          <cell r="J17">
            <v>0</v>
          </cell>
          <cell r="K17">
            <v>0</v>
          </cell>
          <cell r="L17">
            <v>0</v>
          </cell>
          <cell r="M17">
            <v>104.60524000000001</v>
          </cell>
          <cell r="O17">
            <v>0</v>
          </cell>
          <cell r="Q17">
            <v>104.60524000000001</v>
          </cell>
          <cell r="S17">
            <v>78.3339</v>
          </cell>
        </row>
        <row r="18">
          <cell r="B18" t="str">
            <v>Severance expense</v>
          </cell>
          <cell r="C18">
            <v>27.400949999999998</v>
          </cell>
          <cell r="E18">
            <v>0</v>
          </cell>
          <cell r="F18">
            <v>0</v>
          </cell>
          <cell r="G18">
            <v>0</v>
          </cell>
          <cell r="I18">
            <v>0</v>
          </cell>
          <cell r="J18">
            <v>0</v>
          </cell>
          <cell r="K18">
            <v>0</v>
          </cell>
          <cell r="L18">
            <v>0</v>
          </cell>
          <cell r="M18">
            <v>0</v>
          </cell>
          <cell r="O18">
            <v>0</v>
          </cell>
          <cell r="Q18">
            <v>0</v>
          </cell>
          <cell r="S18">
            <v>27.400949999999998</v>
          </cell>
        </row>
        <row r="19">
          <cell r="B19" t="str">
            <v>Discontinued operations</v>
          </cell>
          <cell r="C19">
            <v>-2.2021999999999995</v>
          </cell>
          <cell r="E19">
            <v>0</v>
          </cell>
          <cell r="F19">
            <v>0</v>
          </cell>
          <cell r="G19">
            <v>0</v>
          </cell>
          <cell r="I19">
            <v>0</v>
          </cell>
          <cell r="J19">
            <v>0</v>
          </cell>
          <cell r="K19">
            <v>0</v>
          </cell>
          <cell r="L19">
            <v>0</v>
          </cell>
          <cell r="M19">
            <v>0</v>
          </cell>
          <cell r="O19">
            <v>0</v>
          </cell>
          <cell r="Q19">
            <v>0</v>
          </cell>
          <cell r="S19">
            <v>-2.2021999999999995</v>
          </cell>
        </row>
        <row r="20">
          <cell r="B20" t="str">
            <v>Quality of revenue</v>
          </cell>
          <cell r="C20">
            <v>317.24947522106231</v>
          </cell>
          <cell r="E20">
            <v>26.880378156895858</v>
          </cell>
          <cell r="F20">
            <v>446.40115995807798</v>
          </cell>
          <cell r="G20">
            <v>0</v>
          </cell>
          <cell r="I20">
            <v>3970.8078174342372</v>
          </cell>
          <cell r="J20">
            <v>-0.3691400000025169</v>
          </cell>
          <cell r="K20">
            <v>23.872810000000754</v>
          </cell>
          <cell r="L20">
            <v>250.29783170077826</v>
          </cell>
          <cell r="M20">
            <v>0</v>
          </cell>
          <cell r="O20">
            <v>0</v>
          </cell>
          <cell r="Q20">
            <v>4717.8908572499877</v>
          </cell>
          <cell r="S20">
            <v>5035.14033247105</v>
          </cell>
        </row>
        <row r="21">
          <cell r="B21" t="str">
            <v>Non-recurring and out-of-period adjustments</v>
          </cell>
          <cell r="C21">
            <v>210.62700000000007</v>
          </cell>
          <cell r="E21">
            <v>0</v>
          </cell>
          <cell r="F21">
            <v>-3.6802000000000135</v>
          </cell>
          <cell r="G21">
            <v>0</v>
          </cell>
          <cell r="I21">
            <v>0</v>
          </cell>
          <cell r="J21">
            <v>0</v>
          </cell>
          <cell r="K21">
            <v>0</v>
          </cell>
          <cell r="L21">
            <v>0</v>
          </cell>
          <cell r="M21">
            <v>10.86262</v>
          </cell>
          <cell r="O21">
            <v>0</v>
          </cell>
          <cell r="Q21">
            <v>7.1824199999999863</v>
          </cell>
          <cell r="S21">
            <v>217.80942000000005</v>
          </cell>
        </row>
        <row r="22">
          <cell r="B22" t="str">
            <v>Texas benefits allocation</v>
          </cell>
          <cell r="C22">
            <v>0</v>
          </cell>
          <cell r="E22">
            <v>0</v>
          </cell>
          <cell r="F22">
            <v>0</v>
          </cell>
          <cell r="G22">
            <v>0</v>
          </cell>
          <cell r="I22">
            <v>0</v>
          </cell>
          <cell r="J22">
            <v>0</v>
          </cell>
          <cell r="K22">
            <v>0</v>
          </cell>
          <cell r="L22">
            <v>0</v>
          </cell>
          <cell r="M22">
            <v>0</v>
          </cell>
          <cell r="O22">
            <v>0</v>
          </cell>
          <cell r="Q22">
            <v>0</v>
          </cell>
          <cell r="S22">
            <v>0</v>
          </cell>
        </row>
        <row r="23">
          <cell r="B23" t="str">
            <v>Fleet Plus capitalized labor on interco sales</v>
          </cell>
          <cell r="C23">
            <v>0</v>
          </cell>
          <cell r="E23">
            <v>0</v>
          </cell>
          <cell r="F23">
            <v>0</v>
          </cell>
          <cell r="G23">
            <v>0</v>
          </cell>
          <cell r="I23">
            <v>0</v>
          </cell>
          <cell r="J23">
            <v>0</v>
          </cell>
          <cell r="K23">
            <v>0</v>
          </cell>
          <cell r="L23">
            <v>0</v>
          </cell>
          <cell r="M23">
            <v>0</v>
          </cell>
          <cell r="O23">
            <v>-402.21877000000001</v>
          </cell>
          <cell r="Q23">
            <v>-402.21877000000001</v>
          </cell>
          <cell r="S23">
            <v>-402.21877000000001</v>
          </cell>
        </row>
        <row r="24">
          <cell r="B24" t="str">
            <v>Interco revenue</v>
          </cell>
          <cell r="C24">
            <v>-1782.0229999999997</v>
          </cell>
          <cell r="E24">
            <v>72.096000000000004</v>
          </cell>
          <cell r="I24">
            <v>599.35399999999993</v>
          </cell>
          <cell r="J24">
            <v>535.33500000000004</v>
          </cell>
          <cell r="K24">
            <v>15.581000000000001</v>
          </cell>
          <cell r="L24">
            <v>77.88600000000001</v>
          </cell>
          <cell r="M24">
            <v>481.77100000000002</v>
          </cell>
          <cell r="O24">
            <v>0</v>
          </cell>
          <cell r="Q24">
            <v>1782.0229999999997</v>
          </cell>
          <cell r="S24">
            <v>0</v>
          </cell>
        </row>
        <row r="25">
          <cell r="B25" t="str">
            <v>Adjusted EBITDA</v>
          </cell>
          <cell r="C25">
            <v>5296.3037872814639</v>
          </cell>
          <cell r="E25">
            <v>238.17637815689585</v>
          </cell>
          <cell r="F25">
            <v>680.52095182691562</v>
          </cell>
          <cell r="G25">
            <v>-9296.2995866666661</v>
          </cell>
          <cell r="I25">
            <v>1020.9624374341984</v>
          </cell>
          <cell r="J25">
            <v>8897.613330000002</v>
          </cell>
          <cell r="K25">
            <v>1333.4390200000043</v>
          </cell>
          <cell r="L25">
            <v>1380.5148217007777</v>
          </cell>
          <cell r="M25">
            <v>71.572700000001532</v>
          </cell>
          <cell r="O25">
            <v>-718.28824999999961</v>
          </cell>
          <cell r="Q25">
            <v>3608.2118024521287</v>
          </cell>
          <cell r="S25">
            <v>8904.5155897335972</v>
          </cell>
        </row>
        <row r="26">
          <cell r="B26" t="str">
            <v>Margin</v>
          </cell>
          <cell r="C26">
            <v>22.786175559249138</v>
          </cell>
          <cell r="E26">
            <v>3.0747579910542755</v>
          </cell>
          <cell r="F26">
            <v>44.090406316344293</v>
          </cell>
          <cell r="G26" t="str">
            <v>NA</v>
          </cell>
          <cell r="I26">
            <v>1.6756138250357764</v>
          </cell>
          <cell r="J26">
            <v>18.087920700773285</v>
          </cell>
          <cell r="K26">
            <v>12.909512742628575</v>
          </cell>
          <cell r="L26">
            <v>28.458345032035815</v>
          </cell>
          <cell r="M26" t="str">
            <v>NA</v>
          </cell>
          <cell r="O26">
            <v>-13.768824603862436</v>
          </cell>
          <cell r="Q26">
            <v>2.6094570370443919</v>
          </cell>
          <cell r="S26">
            <v>6.3603661460059193</v>
          </cell>
        </row>
        <row r="28">
          <cell r="B28" t="str">
            <v>Run-rate adjustments:</v>
          </cell>
        </row>
        <row r="29">
          <cell r="B29" t="str">
            <v>CA late run fees</v>
          </cell>
          <cell r="C29">
            <v>0</v>
          </cell>
          <cell r="E29">
            <v>0</v>
          </cell>
          <cell r="F29">
            <v>0</v>
          </cell>
          <cell r="G29">
            <v>0</v>
          </cell>
          <cell r="I29">
            <v>631.41500000000042</v>
          </cell>
          <cell r="J29">
            <v>0</v>
          </cell>
          <cell r="K29">
            <v>0</v>
          </cell>
          <cell r="L29">
            <v>0</v>
          </cell>
          <cell r="M29">
            <v>0</v>
          </cell>
          <cell r="O29">
            <v>0</v>
          </cell>
          <cell r="Q29">
            <v>631.41500000000042</v>
          </cell>
          <cell r="S29">
            <v>631.41500000000042</v>
          </cell>
        </row>
        <row r="30">
          <cell r="B30" t="str">
            <v>CA equipment maintenance fees</v>
          </cell>
          <cell r="C30">
            <v>0</v>
          </cell>
          <cell r="E30">
            <v>0</v>
          </cell>
          <cell r="F30">
            <v>0</v>
          </cell>
          <cell r="G30">
            <v>0</v>
          </cell>
          <cell r="I30">
            <v>2848.7877899999994</v>
          </cell>
          <cell r="J30">
            <v>0</v>
          </cell>
          <cell r="K30">
            <v>0</v>
          </cell>
          <cell r="L30">
            <v>0</v>
          </cell>
          <cell r="M30">
            <v>0</v>
          </cell>
          <cell r="O30">
            <v>0</v>
          </cell>
          <cell r="Q30">
            <v>2848.7877899999994</v>
          </cell>
          <cell r="S30">
            <v>2848.7877899999994</v>
          </cell>
        </row>
        <row r="31">
          <cell r="B31" t="str">
            <v>PPlus premium increase</v>
          </cell>
          <cell r="C31">
            <v>0</v>
          </cell>
          <cell r="E31">
            <v>0</v>
          </cell>
          <cell r="F31">
            <v>0</v>
          </cell>
          <cell r="G31">
            <v>0</v>
          </cell>
          <cell r="I31">
            <v>-48.792608978520015</v>
          </cell>
          <cell r="J31">
            <v>-43.377770857170276</v>
          </cell>
          <cell r="K31">
            <v>-10.609619800177985</v>
          </cell>
          <cell r="L31">
            <v>-4.1650003641317195</v>
          </cell>
          <cell r="M31">
            <v>0</v>
          </cell>
          <cell r="O31">
            <v>0</v>
          </cell>
          <cell r="Q31">
            <v>-106.94499999999998</v>
          </cell>
          <cell r="S31">
            <v>-106.94499999999998</v>
          </cell>
        </row>
        <row r="32">
          <cell r="B32" t="str">
            <v xml:space="preserve">Collection fees </v>
          </cell>
          <cell r="C32">
            <v>0</v>
          </cell>
          <cell r="E32">
            <v>-144.67918924024448</v>
          </cell>
          <cell r="F32">
            <v>-60.231023182211196</v>
          </cell>
          <cell r="G32">
            <v>0</v>
          </cell>
          <cell r="I32">
            <v>-704.12282206055943</v>
          </cell>
          <cell r="J32">
            <v>0</v>
          </cell>
          <cell r="K32">
            <v>0</v>
          </cell>
          <cell r="L32">
            <v>-80.779018340141221</v>
          </cell>
          <cell r="M32">
            <v>0</v>
          </cell>
          <cell r="O32">
            <v>0</v>
          </cell>
          <cell r="Q32">
            <v>-989.81205282315625</v>
          </cell>
          <cell r="S32">
            <v>-989.81205282315625</v>
          </cell>
        </row>
        <row r="33">
          <cell r="B33" t="str">
            <v>Run-rate EBITDA</v>
          </cell>
          <cell r="C33">
            <v>5296.3037872814639</v>
          </cell>
          <cell r="E33">
            <v>93.497188916651368</v>
          </cell>
          <cell r="F33">
            <v>620.28992864470445</v>
          </cell>
          <cell r="G33">
            <v>-9296.2995866666661</v>
          </cell>
          <cell r="I33">
            <v>3748.2497963951187</v>
          </cell>
          <cell r="J33">
            <v>8854.2355591428313</v>
          </cell>
          <cell r="K33">
            <v>1322.8294001998263</v>
          </cell>
          <cell r="L33">
            <v>1295.5708029965049</v>
          </cell>
          <cell r="M33">
            <v>71.572700000001532</v>
          </cell>
          <cell r="O33">
            <v>-718.28824999999961</v>
          </cell>
          <cell r="Q33">
            <v>5991.6575396289718</v>
          </cell>
          <cell r="S33">
            <v>11287.961326910441</v>
          </cell>
        </row>
        <row r="34">
          <cell r="B34" t="str">
            <v>Margin</v>
          </cell>
          <cell r="C34">
            <v>22.786175559249138</v>
          </cell>
          <cell r="E34">
            <v>1.2070098260256952</v>
          </cell>
          <cell r="F34">
            <v>40.18808666281469</v>
          </cell>
          <cell r="G34" t="str">
            <v>NA</v>
          </cell>
          <cell r="I34">
            <v>6.1516652799794942</v>
          </cell>
          <cell r="J34">
            <v>17.999738212914959</v>
          </cell>
          <cell r="K34">
            <v>12.806797117878938</v>
          </cell>
          <cell r="L34">
            <v>26.707283649213622</v>
          </cell>
          <cell r="M34" t="str">
            <v>NA</v>
          </cell>
          <cell r="O34">
            <v>-13.768824603862436</v>
          </cell>
          <cell r="Q34">
            <v>4.3331638457918222</v>
          </cell>
          <cell r="S34">
            <v>8.0628268160798608</v>
          </cell>
        </row>
        <row r="36">
          <cell r="B36" t="str">
            <v>Pro forma adjustments:</v>
          </cell>
        </row>
        <row r="37">
          <cell r="B37" t="str">
            <v>Hospital system fee allocation</v>
          </cell>
          <cell r="C37">
            <v>229.41599999999994</v>
          </cell>
          <cell r="E37">
            <v>999.99599999999975</v>
          </cell>
          <cell r="F37">
            <v>0</v>
          </cell>
          <cell r="G37">
            <v>0</v>
          </cell>
          <cell r="I37">
            <v>0</v>
          </cell>
          <cell r="J37">
            <v>0</v>
          </cell>
          <cell r="K37">
            <v>0</v>
          </cell>
          <cell r="L37">
            <v>0</v>
          </cell>
          <cell r="M37">
            <v>0</v>
          </cell>
          <cell r="O37">
            <v>52.308000000000014</v>
          </cell>
          <cell r="Q37">
            <v>1052.3039999999999</v>
          </cell>
          <cell r="S37">
            <v>1281.7199999999998</v>
          </cell>
        </row>
        <row r="38">
          <cell r="B38" t="str">
            <v>Stand alone costs</v>
          </cell>
          <cell r="C38">
            <v>0</v>
          </cell>
          <cell r="E38">
            <v>0</v>
          </cell>
          <cell r="F38">
            <v>0</v>
          </cell>
          <cell r="G38">
            <v>-2482.7100000000005</v>
          </cell>
          <cell r="I38">
            <v>0</v>
          </cell>
          <cell r="J38">
            <v>0</v>
          </cell>
          <cell r="K38">
            <v>0</v>
          </cell>
          <cell r="L38">
            <v>0</v>
          </cell>
          <cell r="M38">
            <v>0</v>
          </cell>
          <cell r="O38">
            <v>0</v>
          </cell>
          <cell r="Q38">
            <v>-2482.7100000000005</v>
          </cell>
          <cell r="S38">
            <v>-2482.7100000000005</v>
          </cell>
        </row>
        <row r="39">
          <cell r="B39" t="str">
            <v>TX Incremental general liability insurance expense</v>
          </cell>
          <cell r="C39">
            <v>0</v>
          </cell>
          <cell r="E39">
            <v>0</v>
          </cell>
          <cell r="F39">
            <v>0</v>
          </cell>
          <cell r="G39">
            <v>-184.75864250000001</v>
          </cell>
          <cell r="I39">
            <v>0</v>
          </cell>
          <cell r="J39">
            <v>0</v>
          </cell>
          <cell r="K39">
            <v>0</v>
          </cell>
          <cell r="L39">
            <v>0</v>
          </cell>
          <cell r="M39">
            <v>0</v>
          </cell>
          <cell r="O39">
            <v>0</v>
          </cell>
          <cell r="Q39">
            <v>-184.75864250000001</v>
          </cell>
          <cell r="S39">
            <v>-184.75864250000001</v>
          </cell>
        </row>
        <row r="40">
          <cell r="B40" t="str">
            <v>Benefit cost savings</v>
          </cell>
          <cell r="C40">
            <v>58.201914388030971</v>
          </cell>
          <cell r="E40">
            <v>0</v>
          </cell>
          <cell r="F40">
            <v>0</v>
          </cell>
          <cell r="G40">
            <v>0</v>
          </cell>
          <cell r="I40">
            <v>0</v>
          </cell>
          <cell r="J40">
            <v>0</v>
          </cell>
          <cell r="K40">
            <v>0</v>
          </cell>
          <cell r="L40">
            <v>0</v>
          </cell>
          <cell r="M40">
            <v>0</v>
          </cell>
          <cell r="O40">
            <v>0</v>
          </cell>
          <cell r="Q40">
            <v>0</v>
          </cell>
          <cell r="S40">
            <v>58.201914388030971</v>
          </cell>
        </row>
        <row r="41">
          <cell r="B41" t="str">
            <v>Carved-out operations</v>
          </cell>
          <cell r="C41">
            <v>-5778.2152911619451</v>
          </cell>
          <cell r="E41">
            <v>0</v>
          </cell>
          <cell r="F41">
            <v>-58.664466666666655</v>
          </cell>
          <cell r="G41">
            <v>5836.8797578286121</v>
          </cell>
          <cell r="I41">
            <v>0</v>
          </cell>
          <cell r="J41">
            <v>0</v>
          </cell>
          <cell r="K41">
            <v>0</v>
          </cell>
          <cell r="L41">
            <v>0</v>
          </cell>
          <cell r="M41">
            <v>0</v>
          </cell>
          <cell r="O41">
            <v>0</v>
          </cell>
          <cell r="Q41">
            <v>5778.2152911619451</v>
          </cell>
          <cell r="S41">
            <v>0</v>
          </cell>
        </row>
        <row r="42">
          <cell r="B42" t="str">
            <v>Ardent contract</v>
          </cell>
          <cell r="C42">
            <v>1919.9121206775103</v>
          </cell>
          <cell r="E42">
            <v>0</v>
          </cell>
          <cell r="F42">
            <v>0</v>
          </cell>
          <cell r="G42">
            <v>0</v>
          </cell>
          <cell r="I42">
            <v>0</v>
          </cell>
          <cell r="J42">
            <v>0</v>
          </cell>
          <cell r="K42">
            <v>0</v>
          </cell>
          <cell r="L42">
            <v>0</v>
          </cell>
          <cell r="M42">
            <v>0</v>
          </cell>
          <cell r="O42">
            <v>0</v>
          </cell>
          <cell r="Q42">
            <v>0</v>
          </cell>
          <cell r="S42">
            <v>1919.9121206775103</v>
          </cell>
        </row>
        <row r="43">
          <cell r="B43" t="str">
            <v>Waco RFP costs</v>
          </cell>
          <cell r="C43">
            <v>0</v>
          </cell>
          <cell r="E43">
            <v>10.29</v>
          </cell>
          <cell r="F43">
            <v>0</v>
          </cell>
          <cell r="G43">
            <v>0</v>
          </cell>
          <cell r="I43">
            <v>0</v>
          </cell>
          <cell r="J43">
            <v>0</v>
          </cell>
          <cell r="K43">
            <v>0</v>
          </cell>
          <cell r="L43">
            <v>0</v>
          </cell>
          <cell r="M43">
            <v>0</v>
          </cell>
          <cell r="O43">
            <v>0</v>
          </cell>
          <cell r="Q43">
            <v>10.29</v>
          </cell>
          <cell r="S43">
            <v>10.29</v>
          </cell>
        </row>
        <row r="44">
          <cell r="B44" t="str">
            <v>Profit from Fleet Sales to Ardent</v>
          </cell>
          <cell r="C44">
            <v>0</v>
          </cell>
          <cell r="E44">
            <v>0</v>
          </cell>
          <cell r="F44">
            <v>0</v>
          </cell>
          <cell r="G44">
            <v>0</v>
          </cell>
          <cell r="I44">
            <v>0</v>
          </cell>
          <cell r="J44">
            <v>0</v>
          </cell>
          <cell r="K44">
            <v>0</v>
          </cell>
          <cell r="L44">
            <v>0</v>
          </cell>
          <cell r="M44">
            <v>0</v>
          </cell>
          <cell r="O44">
            <v>275.99005</v>
          </cell>
          <cell r="Q44">
            <v>275.99005</v>
          </cell>
          <cell r="S44">
            <v>275.99005</v>
          </cell>
        </row>
        <row r="45">
          <cell r="B45" t="str">
            <v>HL QofE Adjusted EBITDA</v>
          </cell>
          <cell r="C45">
            <v>1725.61853118506</v>
          </cell>
          <cell r="E45">
            <v>1103.7831889166512</v>
          </cell>
          <cell r="F45">
            <v>561.62546197803783</v>
          </cell>
          <cell r="G45">
            <v>-6126.8884713380539</v>
          </cell>
          <cell r="I45">
            <v>3748.2497963951187</v>
          </cell>
          <cell r="J45">
            <v>8854.2355591428313</v>
          </cell>
          <cell r="K45">
            <v>1322.8294001998263</v>
          </cell>
          <cell r="L45">
            <v>1295.5708029965049</v>
          </cell>
          <cell r="M45">
            <v>71.572700000001532</v>
          </cell>
          <cell r="O45">
            <v>-389.99019999999962</v>
          </cell>
          <cell r="Q45">
            <v>10440.988238290916</v>
          </cell>
          <cell r="S45">
            <v>12166.606769475982</v>
          </cell>
        </row>
        <row r="46">
          <cell r="B46" t="str">
            <v>Margin</v>
          </cell>
          <cell r="C46">
            <v>7.4240920421332319</v>
          </cell>
          <cell r="E46">
            <v>14.249381936092652</v>
          </cell>
          <cell r="F46">
            <v>36.387262948686299</v>
          </cell>
          <cell r="G46" t="str">
            <v>NA</v>
          </cell>
          <cell r="I46">
            <v>6.1516652799794942</v>
          </cell>
          <cell r="J46">
            <v>17.999738212914959</v>
          </cell>
          <cell r="K46">
            <v>12.806797117878938</v>
          </cell>
          <cell r="L46">
            <v>26.707283649213622</v>
          </cell>
          <cell r="M46" t="str">
            <v>NA</v>
          </cell>
          <cell r="O46">
            <v>-7.4756988730154355</v>
          </cell>
          <cell r="Q46">
            <v>9.0571474951595476</v>
          </cell>
          <cell r="S46">
            <v>8.6904304932163789</v>
          </cell>
        </row>
        <row r="48">
          <cell r="B48" t="str">
            <v>P+ Likely to Exit CA Contract</v>
          </cell>
          <cell r="C48">
            <v>0</v>
          </cell>
          <cell r="E48">
            <v>0</v>
          </cell>
          <cell r="F48">
            <v>0</v>
          </cell>
          <cell r="G48">
            <v>0</v>
          </cell>
          <cell r="I48">
            <v>-3748.2497963951187</v>
          </cell>
          <cell r="J48">
            <v>0</v>
          </cell>
          <cell r="K48">
            <v>0</v>
          </cell>
          <cell r="L48">
            <v>0</v>
          </cell>
          <cell r="M48">
            <v>0</v>
          </cell>
          <cell r="O48">
            <v>0</v>
          </cell>
          <cell r="S48">
            <v>-3748.2497963951187</v>
          </cell>
        </row>
        <row r="49">
          <cell r="Q49">
            <v>7.4060051951659309E-2</v>
          </cell>
        </row>
        <row r="50">
          <cell r="B50" t="str">
            <v xml:space="preserve">AMCP Pro Forma EBITDA </v>
          </cell>
          <cell r="C50">
            <v>1725.61853118506</v>
          </cell>
          <cell r="E50">
            <v>1103.7831889166512</v>
          </cell>
          <cell r="F50">
            <v>561.62546197803783</v>
          </cell>
          <cell r="G50">
            <v>-6126.8884713380539</v>
          </cell>
          <cell r="I50">
            <v>0</v>
          </cell>
          <cell r="J50">
            <v>8854.2355591428313</v>
          </cell>
          <cell r="K50">
            <v>1322.8294001998263</v>
          </cell>
          <cell r="L50">
            <v>1295.5708029965049</v>
          </cell>
          <cell r="M50">
            <v>71.572700000001532</v>
          </cell>
          <cell r="O50">
            <v>-389.99019999999962</v>
          </cell>
          <cell r="S50">
            <v>8418.3569730808631</v>
          </cell>
        </row>
      </sheetData>
      <sheetData sheetId="27">
        <row r="1">
          <cell r="A1" t="str">
            <v>EBITDA Adjustments</v>
          </cell>
        </row>
        <row r="2">
          <cell r="BE2">
            <v>22.1</v>
          </cell>
          <cell r="BI2">
            <v>22.1</v>
          </cell>
        </row>
        <row r="3">
          <cell r="M3" t="str">
            <v>2017E SEGMENT-LEVEL EBITDA RECONCILIATION</v>
          </cell>
        </row>
        <row r="5">
          <cell r="A5" t="str">
            <v>($ in millions)</v>
          </cell>
          <cell r="E5" t="str">
            <v>TX (w/o Ardent)</v>
          </cell>
          <cell r="M5" t="str">
            <v>TX (w/ Ardent)</v>
          </cell>
          <cell r="S5" t="str">
            <v>CA</v>
          </cell>
          <cell r="Y5" t="str">
            <v>FL</v>
          </cell>
          <cell r="AE5" t="str">
            <v>IN</v>
          </cell>
          <cell r="AK5" t="str">
            <v>SD</v>
          </cell>
          <cell r="AQ5" t="str">
            <v>Fleet Plus</v>
          </cell>
          <cell r="AW5" t="str">
            <v>Corporate</v>
          </cell>
          <cell r="BC5" t="str">
            <v xml:space="preserve">Total </v>
          </cell>
        </row>
        <row r="7">
          <cell r="BE7" t="str">
            <v>Impl.</v>
          </cell>
          <cell r="BG7" t="str">
            <v>AMCP</v>
          </cell>
          <cell r="BI7" t="str">
            <v>Impl.</v>
          </cell>
        </row>
        <row r="8">
          <cell r="C8" t="str">
            <v xml:space="preserve">AMCP </v>
          </cell>
          <cell r="E8" t="str">
            <v>AMCP</v>
          </cell>
          <cell r="I8" t="str">
            <v>AMCP</v>
          </cell>
          <cell r="M8" t="str">
            <v>AMCP</v>
          </cell>
          <cell r="Q8" t="str">
            <v>AMCP</v>
          </cell>
          <cell r="S8" t="str">
            <v>AMCP</v>
          </cell>
          <cell r="W8" t="str">
            <v>AMCP</v>
          </cell>
          <cell r="Y8" t="str">
            <v>AMCP</v>
          </cell>
          <cell r="AC8" t="str">
            <v>AMCP</v>
          </cell>
          <cell r="AE8" t="str">
            <v>AMCP</v>
          </cell>
          <cell r="AI8" t="str">
            <v>AMCP</v>
          </cell>
          <cell r="AK8" t="str">
            <v>AMCP</v>
          </cell>
          <cell r="AO8" t="str">
            <v>AMCP</v>
          </cell>
          <cell r="AQ8" t="str">
            <v>AMCP</v>
          </cell>
          <cell r="AU8" t="str">
            <v>AMCP</v>
          </cell>
          <cell r="AW8" t="str">
            <v>AMCP</v>
          </cell>
          <cell r="BA8" t="str">
            <v>AMCP</v>
          </cell>
          <cell r="BE8" t="str">
            <v>EV</v>
          </cell>
          <cell r="BG8" t="str">
            <v>Adj.</v>
          </cell>
          <cell r="BI8" t="str">
            <v>EV</v>
          </cell>
        </row>
        <row r="9">
          <cell r="C9" t="str">
            <v>% Adj.</v>
          </cell>
          <cell r="E9" t="str">
            <v>Unadj.</v>
          </cell>
          <cell r="G9" t="str">
            <v xml:space="preserve">AMCP </v>
          </cell>
          <cell r="I9" t="str">
            <v>Adj.</v>
          </cell>
          <cell r="M9" t="str">
            <v>Unadj.</v>
          </cell>
          <cell r="O9" t="str">
            <v xml:space="preserve">AMCP </v>
          </cell>
          <cell r="Q9" t="str">
            <v>Adj.</v>
          </cell>
          <cell r="S9" t="str">
            <v>Unadj.</v>
          </cell>
          <cell r="U9" t="str">
            <v xml:space="preserve">AMCP </v>
          </cell>
          <cell r="W9" t="str">
            <v>Adj.</v>
          </cell>
          <cell r="Y9" t="str">
            <v>Unadj.</v>
          </cell>
          <cell r="AA9" t="str">
            <v xml:space="preserve">AMCP </v>
          </cell>
          <cell r="AC9" t="str">
            <v>Adj.</v>
          </cell>
          <cell r="AE9" t="str">
            <v>Unadj.</v>
          </cell>
          <cell r="AG9" t="str">
            <v xml:space="preserve">AMCP </v>
          </cell>
          <cell r="AI9" t="str">
            <v>Adj.</v>
          </cell>
          <cell r="AK9" t="str">
            <v>Unadj.</v>
          </cell>
          <cell r="AM9" t="str">
            <v xml:space="preserve">AMCP </v>
          </cell>
          <cell r="AO9" t="str">
            <v>Adj.</v>
          </cell>
          <cell r="AQ9" t="str">
            <v>Unadj.</v>
          </cell>
          <cell r="AS9" t="str">
            <v xml:space="preserve">AMCP </v>
          </cell>
          <cell r="AU9" t="str">
            <v>Adj.</v>
          </cell>
          <cell r="AW9" t="str">
            <v>Unadj.</v>
          </cell>
          <cell r="AY9" t="str">
            <v xml:space="preserve">AMCP </v>
          </cell>
          <cell r="BA9" t="str">
            <v>Adj.</v>
          </cell>
          <cell r="BC9" t="str">
            <v xml:space="preserve">Total </v>
          </cell>
          <cell r="BE9" t="str">
            <v>Mult.</v>
          </cell>
          <cell r="BG9" t="str">
            <v>Total</v>
          </cell>
          <cell r="BI9" t="str">
            <v>Mult.</v>
          </cell>
        </row>
        <row r="11">
          <cell r="A11" t="str">
            <v>Unadjusted EBITDA</v>
          </cell>
          <cell r="E11" t="e">
            <v>#REF!</v>
          </cell>
          <cell r="I11" t="e">
            <v>#REF!</v>
          </cell>
          <cell r="M11" t="e">
            <v>#REF!</v>
          </cell>
          <cell r="Q11" t="e">
            <v>#REF!</v>
          </cell>
          <cell r="S11" t="e">
            <v>#REF!</v>
          </cell>
          <cell r="W11" t="e">
            <v>#REF!</v>
          </cell>
          <cell r="Y11" t="e">
            <v>#REF!</v>
          </cell>
          <cell r="AC11" t="e">
            <v>#REF!</v>
          </cell>
          <cell r="AE11" t="e">
            <v>#REF!</v>
          </cell>
          <cell r="AI11" t="e">
            <v>#REF!</v>
          </cell>
          <cell r="AK11" t="e">
            <v>#REF!</v>
          </cell>
          <cell r="AO11" t="e">
            <v>#REF!</v>
          </cell>
          <cell r="AQ11" t="e">
            <v>#REF!</v>
          </cell>
          <cell r="AU11" t="e">
            <v>#REF!</v>
          </cell>
          <cell r="AW11" t="e">
            <v>#REF!</v>
          </cell>
          <cell r="BA11" t="e">
            <v>#REF!</v>
          </cell>
          <cell r="BC11" t="e">
            <v>#REF!</v>
          </cell>
          <cell r="BE11" t="e">
            <v>#REF!</v>
          </cell>
          <cell r="BG11" t="e">
            <v>#REF!</v>
          </cell>
          <cell r="BI11" t="e">
            <v>#REF!</v>
          </cell>
        </row>
        <row r="12">
          <cell r="A12" t="str">
            <v>% Margin</v>
          </cell>
          <cell r="E12" t="e">
            <v>#REF!</v>
          </cell>
          <cell r="I12" t="e">
            <v>#REF!</v>
          </cell>
          <cell r="M12" t="e">
            <v>#REF!</v>
          </cell>
          <cell r="Q12" t="e">
            <v>#REF!</v>
          </cell>
          <cell r="S12" t="e">
            <v>#REF!</v>
          </cell>
          <cell r="W12" t="e">
            <v>#REF!</v>
          </cell>
          <cell r="Y12" t="e">
            <v>#REF!</v>
          </cell>
          <cell r="AC12" t="e">
            <v>#REF!</v>
          </cell>
          <cell r="AE12" t="e">
            <v>#REF!</v>
          </cell>
          <cell r="AI12" t="e">
            <v>#REF!</v>
          </cell>
          <cell r="AK12" t="e">
            <v>#REF!</v>
          </cell>
          <cell r="AO12" t="e">
            <v>#REF!</v>
          </cell>
          <cell r="AQ12" t="e">
            <v>#REF!</v>
          </cell>
          <cell r="AU12" t="e">
            <v>#REF!</v>
          </cell>
          <cell r="AW12" t="e">
            <v>#REF!</v>
          </cell>
          <cell r="BA12" t="e">
            <v>#REF!</v>
          </cell>
          <cell r="BC12" t="e">
            <v>#REF!</v>
          </cell>
          <cell r="BG12" t="e">
            <v>#REF!</v>
          </cell>
        </row>
        <row r="14">
          <cell r="A14" t="str">
            <v>Adjustments:</v>
          </cell>
        </row>
        <row r="16">
          <cell r="A16" t="str">
            <v>Legal fees</v>
          </cell>
          <cell r="C16">
            <v>1</v>
          </cell>
          <cell r="E16">
            <v>0</v>
          </cell>
          <cell r="G16">
            <v>1</v>
          </cell>
          <cell r="I16">
            <v>0</v>
          </cell>
          <cell r="M16">
            <v>0</v>
          </cell>
          <cell r="O16">
            <v>1</v>
          </cell>
          <cell r="Q16">
            <v>0</v>
          </cell>
          <cell r="S16">
            <v>0</v>
          </cell>
          <cell r="U16">
            <v>1</v>
          </cell>
          <cell r="W16">
            <v>0</v>
          </cell>
          <cell r="Y16">
            <v>0</v>
          </cell>
          <cell r="AA16">
            <v>1</v>
          </cell>
          <cell r="AC16">
            <v>0</v>
          </cell>
          <cell r="AE16">
            <v>0</v>
          </cell>
          <cell r="AG16">
            <v>1</v>
          </cell>
          <cell r="AI16">
            <v>0</v>
          </cell>
          <cell r="AK16">
            <v>0</v>
          </cell>
          <cell r="AM16">
            <v>1</v>
          </cell>
          <cell r="AO16">
            <v>0</v>
          </cell>
          <cell r="AQ16">
            <v>0</v>
          </cell>
          <cell r="AS16">
            <v>1</v>
          </cell>
          <cell r="AU16">
            <v>0</v>
          </cell>
          <cell r="AW16" t="e">
            <v>#REF!</v>
          </cell>
          <cell r="AY16">
            <v>1</v>
          </cell>
          <cell r="BA16" t="e">
            <v>#REF!</v>
          </cell>
        </row>
        <row r="17">
          <cell r="A17" t="str">
            <v>Stand alone costs</v>
          </cell>
          <cell r="C17">
            <v>1</v>
          </cell>
          <cell r="E17" t="e">
            <v>#REF!</v>
          </cell>
          <cell r="G17">
            <v>1</v>
          </cell>
          <cell r="I17" t="e">
            <v>#REF!</v>
          </cell>
          <cell r="M17">
            <v>0</v>
          </cell>
          <cell r="O17">
            <v>1</v>
          </cell>
          <cell r="Q17">
            <v>0</v>
          </cell>
          <cell r="S17">
            <v>0</v>
          </cell>
          <cell r="U17">
            <v>1</v>
          </cell>
          <cell r="W17">
            <v>0</v>
          </cell>
          <cell r="Y17">
            <v>0</v>
          </cell>
          <cell r="AA17">
            <v>1</v>
          </cell>
          <cell r="AC17">
            <v>0</v>
          </cell>
          <cell r="AE17">
            <v>0</v>
          </cell>
          <cell r="AG17">
            <v>1</v>
          </cell>
          <cell r="AI17">
            <v>0</v>
          </cell>
          <cell r="AK17">
            <v>0</v>
          </cell>
          <cell r="AM17">
            <v>1</v>
          </cell>
          <cell r="AO17">
            <v>0</v>
          </cell>
          <cell r="AQ17">
            <v>0</v>
          </cell>
          <cell r="AS17">
            <v>1</v>
          </cell>
          <cell r="AU17">
            <v>0</v>
          </cell>
          <cell r="AW17" t="e">
            <v>#REF!</v>
          </cell>
          <cell r="AY17">
            <v>1</v>
          </cell>
          <cell r="BA17" t="e">
            <v>#REF!</v>
          </cell>
        </row>
        <row r="18">
          <cell r="A18" t="str">
            <v>Hospital system fee allocation</v>
          </cell>
          <cell r="C18">
            <v>1</v>
          </cell>
          <cell r="E18" t="e">
            <v>#REF!</v>
          </cell>
          <cell r="G18">
            <v>1</v>
          </cell>
          <cell r="I18" t="e">
            <v>#REF!</v>
          </cell>
          <cell r="M18">
            <v>0</v>
          </cell>
          <cell r="O18">
            <v>1</v>
          </cell>
          <cell r="Q18">
            <v>0</v>
          </cell>
          <cell r="S18">
            <v>0</v>
          </cell>
          <cell r="U18">
            <v>1</v>
          </cell>
          <cell r="W18">
            <v>0</v>
          </cell>
          <cell r="Y18">
            <v>0</v>
          </cell>
          <cell r="AA18">
            <v>1</v>
          </cell>
          <cell r="AC18">
            <v>0</v>
          </cell>
          <cell r="AE18">
            <v>0</v>
          </cell>
          <cell r="AG18">
            <v>1</v>
          </cell>
          <cell r="AI18">
            <v>0</v>
          </cell>
          <cell r="AK18">
            <v>0</v>
          </cell>
          <cell r="AM18">
            <v>1</v>
          </cell>
          <cell r="AO18">
            <v>0</v>
          </cell>
          <cell r="AQ18">
            <v>0</v>
          </cell>
          <cell r="AS18">
            <v>1</v>
          </cell>
          <cell r="AU18">
            <v>0</v>
          </cell>
          <cell r="AW18">
            <v>0</v>
          </cell>
          <cell r="AY18">
            <v>1</v>
          </cell>
          <cell r="BA18">
            <v>0</v>
          </cell>
        </row>
        <row r="19">
          <cell r="A19" t="str">
            <v>Retention Incentive 5-35</v>
          </cell>
          <cell r="C19">
            <v>1</v>
          </cell>
          <cell r="E19">
            <v>0</v>
          </cell>
          <cell r="G19">
            <v>1</v>
          </cell>
          <cell r="I19">
            <v>0</v>
          </cell>
          <cell r="M19">
            <v>0</v>
          </cell>
          <cell r="O19">
            <v>1</v>
          </cell>
          <cell r="Q19">
            <v>0</v>
          </cell>
          <cell r="S19">
            <v>0</v>
          </cell>
          <cell r="U19">
            <v>1</v>
          </cell>
          <cell r="W19">
            <v>0</v>
          </cell>
          <cell r="Y19" t="e">
            <v>#REF!</v>
          </cell>
          <cell r="AA19">
            <v>1</v>
          </cell>
          <cell r="AC19" t="e">
            <v>#REF!</v>
          </cell>
          <cell r="AE19" t="e">
            <v>#REF!</v>
          </cell>
          <cell r="AG19">
            <v>1</v>
          </cell>
          <cell r="AI19" t="e">
            <v>#REF!</v>
          </cell>
          <cell r="AK19">
            <v>0</v>
          </cell>
          <cell r="AM19">
            <v>1</v>
          </cell>
          <cell r="AO19">
            <v>0</v>
          </cell>
          <cell r="AQ19">
            <v>0</v>
          </cell>
          <cell r="AS19">
            <v>1</v>
          </cell>
          <cell r="AU19">
            <v>0</v>
          </cell>
          <cell r="AW19">
            <v>0</v>
          </cell>
          <cell r="AY19">
            <v>1</v>
          </cell>
          <cell r="BA19">
            <v>0</v>
          </cell>
        </row>
        <row r="20">
          <cell r="A20" t="str">
            <v>Severance expense</v>
          </cell>
          <cell r="C20">
            <v>1</v>
          </cell>
          <cell r="E20" t="e">
            <v>#REF!</v>
          </cell>
          <cell r="G20">
            <v>1</v>
          </cell>
          <cell r="I20" t="e">
            <v>#REF!</v>
          </cell>
          <cell r="M20">
            <v>0</v>
          </cell>
          <cell r="O20">
            <v>1</v>
          </cell>
          <cell r="Q20">
            <v>0</v>
          </cell>
          <cell r="S20">
            <v>0</v>
          </cell>
          <cell r="U20">
            <v>1</v>
          </cell>
          <cell r="W20">
            <v>0</v>
          </cell>
          <cell r="Y20">
            <v>0</v>
          </cell>
          <cell r="AA20">
            <v>1</v>
          </cell>
          <cell r="AC20">
            <v>0</v>
          </cell>
          <cell r="AE20">
            <v>0</v>
          </cell>
          <cell r="AG20">
            <v>1</v>
          </cell>
          <cell r="AI20">
            <v>0</v>
          </cell>
          <cell r="AK20">
            <v>0</v>
          </cell>
          <cell r="AM20">
            <v>1</v>
          </cell>
          <cell r="AO20">
            <v>0</v>
          </cell>
          <cell r="AQ20">
            <v>0</v>
          </cell>
          <cell r="AS20">
            <v>1</v>
          </cell>
          <cell r="AU20">
            <v>0</v>
          </cell>
          <cell r="AW20">
            <v>0</v>
          </cell>
          <cell r="AY20">
            <v>1</v>
          </cell>
          <cell r="BA20">
            <v>0</v>
          </cell>
        </row>
        <row r="21">
          <cell r="A21" t="str">
            <v>(Gain)/loss on sale of assets</v>
          </cell>
          <cell r="C21">
            <v>1</v>
          </cell>
          <cell r="E21" t="e">
            <v>#REF!</v>
          </cell>
          <cell r="G21">
            <v>1</v>
          </cell>
          <cell r="I21" t="e">
            <v>#REF!</v>
          </cell>
          <cell r="M21">
            <v>0</v>
          </cell>
          <cell r="O21">
            <v>1</v>
          </cell>
          <cell r="Q21">
            <v>0</v>
          </cell>
          <cell r="S21">
            <v>0</v>
          </cell>
          <cell r="U21">
            <v>1</v>
          </cell>
          <cell r="W21">
            <v>0</v>
          </cell>
          <cell r="Y21">
            <v>0</v>
          </cell>
          <cell r="AA21">
            <v>1</v>
          </cell>
          <cell r="AC21">
            <v>0</v>
          </cell>
          <cell r="AE21">
            <v>0</v>
          </cell>
          <cell r="AG21">
            <v>1</v>
          </cell>
          <cell r="AI21">
            <v>0</v>
          </cell>
          <cell r="AK21">
            <v>0</v>
          </cell>
          <cell r="AM21">
            <v>1</v>
          </cell>
          <cell r="AO21">
            <v>0</v>
          </cell>
          <cell r="AQ21">
            <v>0</v>
          </cell>
          <cell r="AS21">
            <v>1</v>
          </cell>
          <cell r="AU21">
            <v>0</v>
          </cell>
          <cell r="AW21">
            <v>0</v>
          </cell>
          <cell r="AY21">
            <v>1</v>
          </cell>
          <cell r="BA21">
            <v>0</v>
          </cell>
        </row>
        <row r="22">
          <cell r="A22" t="str">
            <v>TX gen. liab. Insurance</v>
          </cell>
          <cell r="C22">
            <v>1</v>
          </cell>
          <cell r="E22" t="e">
            <v>#REF!</v>
          </cell>
          <cell r="G22">
            <v>1</v>
          </cell>
          <cell r="I22" t="e">
            <v>#REF!</v>
          </cell>
          <cell r="M22">
            <v>0</v>
          </cell>
          <cell r="O22">
            <v>1</v>
          </cell>
          <cell r="Q22">
            <v>0</v>
          </cell>
          <cell r="S22">
            <v>0</v>
          </cell>
          <cell r="U22">
            <v>1</v>
          </cell>
          <cell r="W22">
            <v>0</v>
          </cell>
          <cell r="Y22">
            <v>0</v>
          </cell>
          <cell r="AA22">
            <v>1</v>
          </cell>
          <cell r="AC22">
            <v>0</v>
          </cell>
          <cell r="AE22">
            <v>0</v>
          </cell>
          <cell r="AG22">
            <v>1</v>
          </cell>
          <cell r="AI22">
            <v>0</v>
          </cell>
          <cell r="AK22">
            <v>0</v>
          </cell>
          <cell r="AM22">
            <v>1</v>
          </cell>
          <cell r="AO22">
            <v>0</v>
          </cell>
          <cell r="AQ22">
            <v>0</v>
          </cell>
          <cell r="AS22">
            <v>1</v>
          </cell>
          <cell r="AU22">
            <v>0</v>
          </cell>
          <cell r="AW22">
            <v>0</v>
          </cell>
          <cell r="AY22">
            <v>1</v>
          </cell>
          <cell r="BA22">
            <v>0</v>
          </cell>
        </row>
        <row r="23">
          <cell r="A23" t="str">
            <v>Corporate Salaries</v>
          </cell>
          <cell r="C23">
            <v>1</v>
          </cell>
          <cell r="E23">
            <v>0</v>
          </cell>
          <cell r="G23">
            <v>1</v>
          </cell>
          <cell r="I23">
            <v>0</v>
          </cell>
          <cell r="M23">
            <v>0</v>
          </cell>
          <cell r="O23">
            <v>1</v>
          </cell>
          <cell r="Q23">
            <v>0</v>
          </cell>
          <cell r="S23">
            <v>0</v>
          </cell>
          <cell r="U23">
            <v>1</v>
          </cell>
          <cell r="W23">
            <v>0</v>
          </cell>
          <cell r="Y23">
            <v>0</v>
          </cell>
          <cell r="AA23">
            <v>1</v>
          </cell>
          <cell r="AC23">
            <v>0</v>
          </cell>
          <cell r="AE23">
            <v>0</v>
          </cell>
          <cell r="AG23">
            <v>1</v>
          </cell>
          <cell r="AI23">
            <v>0</v>
          </cell>
          <cell r="AK23">
            <v>0</v>
          </cell>
          <cell r="AM23">
            <v>1</v>
          </cell>
          <cell r="AO23">
            <v>0</v>
          </cell>
          <cell r="AQ23">
            <v>0</v>
          </cell>
          <cell r="AS23">
            <v>1</v>
          </cell>
          <cell r="AU23">
            <v>0</v>
          </cell>
          <cell r="AW23" t="e">
            <v>#REF!</v>
          </cell>
          <cell r="AY23">
            <v>1</v>
          </cell>
          <cell r="BA23" t="e">
            <v>#REF!</v>
          </cell>
        </row>
        <row r="25">
          <cell r="A25" t="str">
            <v xml:space="preserve">Adjusted EBITDA: </v>
          </cell>
          <cell r="E25" t="e">
            <v>#REF!</v>
          </cell>
          <cell r="I25" t="e">
            <v>#REF!</v>
          </cell>
          <cell r="M25" t="e">
            <v>#REF!</v>
          </cell>
          <cell r="Q25" t="e">
            <v>#REF!</v>
          </cell>
          <cell r="S25" t="e">
            <v>#REF!</v>
          </cell>
          <cell r="W25" t="e">
            <v>#REF!</v>
          </cell>
          <cell r="Y25" t="e">
            <v>#REF!</v>
          </cell>
          <cell r="AC25" t="e">
            <v>#REF!</v>
          </cell>
          <cell r="AE25" t="e">
            <v>#REF!</v>
          </cell>
          <cell r="AI25" t="e">
            <v>#REF!</v>
          </cell>
          <cell r="AK25" t="e">
            <v>#REF!</v>
          </cell>
          <cell r="AO25" t="e">
            <v>#REF!</v>
          </cell>
          <cell r="AQ25" t="e">
            <v>#REF!</v>
          </cell>
          <cell r="AU25" t="e">
            <v>#REF!</v>
          </cell>
          <cell r="AW25" t="e">
            <v>#REF!</v>
          </cell>
          <cell r="BA25" t="e">
            <v>#REF!</v>
          </cell>
          <cell r="BC25" t="e">
            <v>#REF!</v>
          </cell>
          <cell r="BE25" t="e">
            <v>#REF!</v>
          </cell>
          <cell r="BG25" t="e">
            <v>#REF!</v>
          </cell>
          <cell r="BI25" t="e">
            <v>#REF!</v>
          </cell>
        </row>
        <row r="26">
          <cell r="A26" t="str">
            <v>% Margin</v>
          </cell>
          <cell r="E26" t="e">
            <v>#REF!</v>
          </cell>
          <cell r="I26" t="e">
            <v>#REF!</v>
          </cell>
          <cell r="M26" t="e">
            <v>#REF!</v>
          </cell>
          <cell r="Q26" t="e">
            <v>#REF!</v>
          </cell>
          <cell r="S26" t="e">
            <v>#REF!</v>
          </cell>
          <cell r="W26" t="e">
            <v>#REF!</v>
          </cell>
          <cell r="Y26" t="e">
            <v>#REF!</v>
          </cell>
          <cell r="AC26" t="e">
            <v>#REF!</v>
          </cell>
          <cell r="AE26" t="e">
            <v>#REF!</v>
          </cell>
          <cell r="AI26" t="e">
            <v>#REF!</v>
          </cell>
          <cell r="AK26" t="e">
            <v>#REF!</v>
          </cell>
          <cell r="AO26" t="e">
            <v>#REF!</v>
          </cell>
          <cell r="AQ26" t="e">
            <v>#REF!</v>
          </cell>
          <cell r="AU26" t="e">
            <v>#REF!</v>
          </cell>
          <cell r="AW26" t="e">
            <v>#REF!</v>
          </cell>
          <cell r="BA26" t="e">
            <v>#REF!</v>
          </cell>
          <cell r="BC26" t="e">
            <v>#REF!</v>
          </cell>
          <cell r="BG26" t="e">
            <v>#REF!</v>
          </cell>
        </row>
        <row r="28">
          <cell r="A28" t="str">
            <v>Run-Rate Adjustments:</v>
          </cell>
        </row>
        <row r="30">
          <cell r="A30" t="str">
            <v>Payor Mix Adjustment</v>
          </cell>
          <cell r="C30">
            <v>1</v>
          </cell>
          <cell r="E30">
            <v>0</v>
          </cell>
          <cell r="G30">
            <v>1</v>
          </cell>
          <cell r="I30">
            <v>0</v>
          </cell>
          <cell r="M30">
            <v>0</v>
          </cell>
          <cell r="O30">
            <v>1</v>
          </cell>
          <cell r="Q30">
            <v>0</v>
          </cell>
          <cell r="S30" t="e">
            <v>#REF!</v>
          </cell>
          <cell r="U30">
            <v>1</v>
          </cell>
          <cell r="W30" t="e">
            <v>#REF!</v>
          </cell>
          <cell r="Y30">
            <v>0</v>
          </cell>
          <cell r="AA30">
            <v>1</v>
          </cell>
          <cell r="AC30">
            <v>0</v>
          </cell>
          <cell r="AE30">
            <v>0</v>
          </cell>
          <cell r="AG30">
            <v>1</v>
          </cell>
          <cell r="AI30">
            <v>0</v>
          </cell>
          <cell r="AK30" t="e">
            <v>#REF!</v>
          </cell>
          <cell r="AM30">
            <v>1</v>
          </cell>
          <cell r="AO30" t="e">
            <v>#REF!</v>
          </cell>
          <cell r="AQ30">
            <v>0</v>
          </cell>
          <cell r="AS30">
            <v>1</v>
          </cell>
          <cell r="AU30">
            <v>0</v>
          </cell>
          <cell r="AW30">
            <v>0</v>
          </cell>
          <cell r="AY30">
            <v>1</v>
          </cell>
          <cell r="BA30">
            <v>0</v>
          </cell>
        </row>
        <row r="31">
          <cell r="A31" t="str">
            <v xml:space="preserve">FRALS Equipment Elimination </v>
          </cell>
          <cell r="C31">
            <v>1</v>
          </cell>
          <cell r="E31">
            <v>0</v>
          </cell>
          <cell r="G31">
            <v>1</v>
          </cell>
          <cell r="I31">
            <v>0</v>
          </cell>
          <cell r="M31">
            <v>0</v>
          </cell>
          <cell r="O31">
            <v>1</v>
          </cell>
          <cell r="Q31">
            <v>0</v>
          </cell>
          <cell r="S31" t="e">
            <v>#REF!</v>
          </cell>
          <cell r="U31">
            <v>1</v>
          </cell>
          <cell r="W31" t="e">
            <v>#REF!</v>
          </cell>
          <cell r="Y31">
            <v>0</v>
          </cell>
          <cell r="AA31">
            <v>1</v>
          </cell>
          <cell r="AC31">
            <v>0</v>
          </cell>
          <cell r="AE31">
            <v>0</v>
          </cell>
          <cell r="AG31">
            <v>1</v>
          </cell>
          <cell r="AI31">
            <v>0</v>
          </cell>
          <cell r="AK31">
            <v>0</v>
          </cell>
          <cell r="AM31">
            <v>1</v>
          </cell>
          <cell r="AO31">
            <v>0</v>
          </cell>
          <cell r="AQ31">
            <v>0</v>
          </cell>
          <cell r="AS31">
            <v>1</v>
          </cell>
          <cell r="AU31">
            <v>0</v>
          </cell>
          <cell r="AW31">
            <v>0</v>
          </cell>
          <cell r="AY31">
            <v>1</v>
          </cell>
          <cell r="BA31">
            <v>0</v>
          </cell>
        </row>
        <row r="32">
          <cell r="A32" t="str">
            <v>CA late run fees</v>
          </cell>
          <cell r="C32">
            <v>1</v>
          </cell>
          <cell r="E32">
            <v>0</v>
          </cell>
          <cell r="G32">
            <v>1</v>
          </cell>
          <cell r="I32">
            <v>0</v>
          </cell>
          <cell r="M32">
            <v>0</v>
          </cell>
          <cell r="O32">
            <v>1</v>
          </cell>
          <cell r="Q32">
            <v>0</v>
          </cell>
          <cell r="S32" t="e">
            <v>#REF!</v>
          </cell>
          <cell r="U32">
            <v>1</v>
          </cell>
          <cell r="W32" t="e">
            <v>#REF!</v>
          </cell>
          <cell r="Y32">
            <v>0</v>
          </cell>
          <cell r="AA32">
            <v>1</v>
          </cell>
          <cell r="AC32">
            <v>0</v>
          </cell>
          <cell r="AE32">
            <v>0</v>
          </cell>
          <cell r="AG32">
            <v>1</v>
          </cell>
          <cell r="AI32">
            <v>0</v>
          </cell>
          <cell r="AK32">
            <v>0</v>
          </cell>
          <cell r="AM32">
            <v>1</v>
          </cell>
          <cell r="AO32">
            <v>0</v>
          </cell>
          <cell r="AQ32">
            <v>0</v>
          </cell>
          <cell r="AS32">
            <v>1</v>
          </cell>
          <cell r="AU32">
            <v>0</v>
          </cell>
          <cell r="AW32">
            <v>0</v>
          </cell>
          <cell r="AY32">
            <v>1</v>
          </cell>
          <cell r="BA32">
            <v>0</v>
          </cell>
        </row>
        <row r="33">
          <cell r="A33" t="str">
            <v>Benefit cost savings</v>
          </cell>
          <cell r="C33">
            <v>1</v>
          </cell>
          <cell r="E33" t="e">
            <v>#REF!</v>
          </cell>
          <cell r="G33">
            <v>1</v>
          </cell>
          <cell r="I33" t="e">
            <v>#REF!</v>
          </cell>
          <cell r="M33">
            <v>0</v>
          </cell>
          <cell r="O33">
            <v>1</v>
          </cell>
          <cell r="Q33">
            <v>0</v>
          </cell>
          <cell r="S33">
            <v>0</v>
          </cell>
          <cell r="U33">
            <v>1</v>
          </cell>
          <cell r="W33">
            <v>0</v>
          </cell>
          <cell r="Y33">
            <v>0</v>
          </cell>
          <cell r="AA33">
            <v>1</v>
          </cell>
          <cell r="AC33">
            <v>0</v>
          </cell>
          <cell r="AE33">
            <v>0</v>
          </cell>
          <cell r="AG33">
            <v>1</v>
          </cell>
          <cell r="AI33">
            <v>0</v>
          </cell>
          <cell r="AK33">
            <v>0</v>
          </cell>
          <cell r="AM33">
            <v>1</v>
          </cell>
          <cell r="AO33">
            <v>0</v>
          </cell>
          <cell r="AQ33">
            <v>0</v>
          </cell>
          <cell r="AS33">
            <v>1</v>
          </cell>
          <cell r="AU33">
            <v>0</v>
          </cell>
          <cell r="AW33">
            <v>0</v>
          </cell>
          <cell r="AY33">
            <v>1</v>
          </cell>
          <cell r="BA33">
            <v>0</v>
          </cell>
        </row>
        <row r="34">
          <cell r="A34" t="str">
            <v xml:space="preserve">Other One Time </v>
          </cell>
          <cell r="C34">
            <v>1</v>
          </cell>
          <cell r="E34">
            <v>0</v>
          </cell>
          <cell r="G34">
            <v>1</v>
          </cell>
          <cell r="I34">
            <v>0</v>
          </cell>
          <cell r="M34">
            <v>0</v>
          </cell>
          <cell r="O34">
            <v>1</v>
          </cell>
          <cell r="Q34">
            <v>0</v>
          </cell>
          <cell r="S34">
            <v>0</v>
          </cell>
          <cell r="U34">
            <v>1</v>
          </cell>
          <cell r="W34">
            <v>0</v>
          </cell>
          <cell r="Y34">
            <v>0</v>
          </cell>
          <cell r="AA34">
            <v>1</v>
          </cell>
          <cell r="AC34">
            <v>0</v>
          </cell>
          <cell r="AE34">
            <v>0</v>
          </cell>
          <cell r="AG34">
            <v>1</v>
          </cell>
          <cell r="AI34">
            <v>0</v>
          </cell>
          <cell r="AK34">
            <v>0</v>
          </cell>
          <cell r="AM34">
            <v>1</v>
          </cell>
          <cell r="AO34">
            <v>0</v>
          </cell>
          <cell r="AQ34">
            <v>0</v>
          </cell>
          <cell r="AS34">
            <v>1</v>
          </cell>
          <cell r="AU34">
            <v>0</v>
          </cell>
          <cell r="AW34" t="e">
            <v>#REF!</v>
          </cell>
          <cell r="AY34">
            <v>1</v>
          </cell>
          <cell r="BA34" t="e">
            <v>#REF!</v>
          </cell>
        </row>
        <row r="35">
          <cell r="A35" t="str">
            <v xml:space="preserve">Tax Credits </v>
          </cell>
          <cell r="C35">
            <v>1</v>
          </cell>
          <cell r="E35">
            <v>0</v>
          </cell>
          <cell r="G35">
            <v>1</v>
          </cell>
          <cell r="I35">
            <v>0</v>
          </cell>
          <cell r="M35">
            <v>0</v>
          </cell>
          <cell r="O35">
            <v>1</v>
          </cell>
          <cell r="Q35">
            <v>0</v>
          </cell>
          <cell r="S35" t="e">
            <v>#REF!</v>
          </cell>
          <cell r="U35">
            <v>1</v>
          </cell>
          <cell r="W35" t="e">
            <v>#REF!</v>
          </cell>
          <cell r="Y35">
            <v>0</v>
          </cell>
          <cell r="AA35">
            <v>1</v>
          </cell>
          <cell r="AC35">
            <v>0</v>
          </cell>
          <cell r="AE35">
            <v>0</v>
          </cell>
          <cell r="AG35">
            <v>1</v>
          </cell>
          <cell r="AI35">
            <v>0</v>
          </cell>
          <cell r="AK35">
            <v>0</v>
          </cell>
          <cell r="AM35">
            <v>1</v>
          </cell>
          <cell r="AO35">
            <v>0</v>
          </cell>
          <cell r="AQ35">
            <v>0</v>
          </cell>
          <cell r="AS35">
            <v>1</v>
          </cell>
          <cell r="AU35">
            <v>0</v>
          </cell>
          <cell r="AW35">
            <v>0</v>
          </cell>
          <cell r="AY35">
            <v>1</v>
          </cell>
          <cell r="BA35">
            <v>0</v>
          </cell>
        </row>
        <row r="36">
          <cell r="A36" t="str">
            <v>Normalized overtime for CA</v>
          </cell>
          <cell r="C36">
            <v>1</v>
          </cell>
          <cell r="E36">
            <v>0</v>
          </cell>
          <cell r="G36">
            <v>1</v>
          </cell>
          <cell r="I36">
            <v>0</v>
          </cell>
          <cell r="M36">
            <v>0</v>
          </cell>
          <cell r="O36">
            <v>1</v>
          </cell>
          <cell r="Q36">
            <v>0</v>
          </cell>
          <cell r="S36" t="e">
            <v>#REF!</v>
          </cell>
          <cell r="U36">
            <v>1</v>
          </cell>
          <cell r="W36" t="e">
            <v>#REF!</v>
          </cell>
          <cell r="Y36">
            <v>0</v>
          </cell>
          <cell r="AA36">
            <v>1</v>
          </cell>
          <cell r="AC36">
            <v>0</v>
          </cell>
          <cell r="AE36">
            <v>0</v>
          </cell>
          <cell r="AG36">
            <v>1</v>
          </cell>
          <cell r="AI36">
            <v>0</v>
          </cell>
          <cell r="AK36">
            <v>0</v>
          </cell>
          <cell r="AM36">
            <v>1</v>
          </cell>
          <cell r="AO36">
            <v>0</v>
          </cell>
          <cell r="AQ36">
            <v>0</v>
          </cell>
          <cell r="AS36">
            <v>1</v>
          </cell>
          <cell r="AU36">
            <v>0</v>
          </cell>
          <cell r="AW36">
            <v>0</v>
          </cell>
          <cell r="AY36">
            <v>1</v>
          </cell>
          <cell r="BA36">
            <v>0</v>
          </cell>
        </row>
        <row r="38">
          <cell r="A38" t="str">
            <v xml:space="preserve">Run-Rate EBITDA: </v>
          </cell>
          <cell r="E38" t="e">
            <v>#REF!</v>
          </cell>
          <cell r="I38" t="e">
            <v>#REF!</v>
          </cell>
          <cell r="M38" t="e">
            <v>#REF!</v>
          </cell>
          <cell r="Q38" t="e">
            <v>#REF!</v>
          </cell>
          <cell r="S38" t="e">
            <v>#REF!</v>
          </cell>
          <cell r="W38" t="e">
            <v>#REF!</v>
          </cell>
          <cell r="Y38" t="e">
            <v>#REF!</v>
          </cell>
          <cell r="AC38" t="e">
            <v>#REF!</v>
          </cell>
          <cell r="AE38" t="e">
            <v>#REF!</v>
          </cell>
          <cell r="AI38" t="e">
            <v>#REF!</v>
          </cell>
          <cell r="AK38" t="e">
            <v>#REF!</v>
          </cell>
          <cell r="AO38" t="e">
            <v>#REF!</v>
          </cell>
          <cell r="AQ38" t="e">
            <v>#REF!</v>
          </cell>
          <cell r="AU38" t="e">
            <v>#REF!</v>
          </cell>
          <cell r="AW38" t="e">
            <v>#REF!</v>
          </cell>
          <cell r="BA38" t="e">
            <v>#REF!</v>
          </cell>
          <cell r="BC38" t="e">
            <v>#REF!</v>
          </cell>
          <cell r="BE38" t="e">
            <v>#REF!</v>
          </cell>
          <cell r="BG38" t="e">
            <v>#REF!</v>
          </cell>
          <cell r="BI38" t="e">
            <v>#REF!</v>
          </cell>
        </row>
        <row r="39">
          <cell r="A39" t="str">
            <v>% Margin</v>
          </cell>
          <cell r="E39" t="e">
            <v>#REF!</v>
          </cell>
          <cell r="I39" t="e">
            <v>#REF!</v>
          </cell>
          <cell r="M39" t="e">
            <v>#REF!</v>
          </cell>
          <cell r="Q39" t="e">
            <v>#REF!</v>
          </cell>
          <cell r="S39" t="e">
            <v>#REF!</v>
          </cell>
          <cell r="W39" t="e">
            <v>#REF!</v>
          </cell>
          <cell r="Y39" t="e">
            <v>#REF!</v>
          </cell>
          <cell r="AC39" t="e">
            <v>#REF!</v>
          </cell>
          <cell r="AE39" t="e">
            <v>#REF!</v>
          </cell>
          <cell r="AI39" t="e">
            <v>#REF!</v>
          </cell>
          <cell r="AK39" t="e">
            <v>#REF!</v>
          </cell>
          <cell r="AO39" t="e">
            <v>#REF!</v>
          </cell>
          <cell r="AQ39" t="e">
            <v>#REF!</v>
          </cell>
          <cell r="AU39" t="e">
            <v>#REF!</v>
          </cell>
          <cell r="AW39" t="e">
            <v>#REF!</v>
          </cell>
          <cell r="BA39" t="e">
            <v>#REF!</v>
          </cell>
          <cell r="BC39" t="e">
            <v>#REF!</v>
          </cell>
          <cell r="BG39" t="e">
            <v>#REF!</v>
          </cell>
        </row>
        <row r="41">
          <cell r="A41" t="str">
            <v xml:space="preserve">Projected Average CapEx: </v>
          </cell>
          <cell r="Q41">
            <v>0.41</v>
          </cell>
          <cell r="W41">
            <v>3.4606666666666666</v>
          </cell>
          <cell r="AC41">
            <v>1.4143333333333334</v>
          </cell>
          <cell r="AI41">
            <v>0.23266666666666666</v>
          </cell>
          <cell r="AO41">
            <v>0.14766666666666667</v>
          </cell>
          <cell r="AU41">
            <v>0</v>
          </cell>
          <cell r="BA41">
            <v>0</v>
          </cell>
        </row>
        <row r="43">
          <cell r="A43" t="str">
            <v xml:space="preserve">Run-Rate Adj. OCF (EBITDA - CapEx): </v>
          </cell>
          <cell r="M43" t="e">
            <v>#REF!</v>
          </cell>
          <cell r="Q43" t="e">
            <v>#REF!</v>
          </cell>
          <cell r="S43" t="e">
            <v>#REF!</v>
          </cell>
          <cell r="W43" t="e">
            <v>#REF!</v>
          </cell>
          <cell r="Y43" t="e">
            <v>#REF!</v>
          </cell>
          <cell r="AC43" t="e">
            <v>#REF!</v>
          </cell>
          <cell r="AE43" t="e">
            <v>#REF!</v>
          </cell>
          <cell r="AI43" t="e">
            <v>#REF!</v>
          </cell>
          <cell r="AK43" t="e">
            <v>#REF!</v>
          </cell>
          <cell r="AO43" t="e">
            <v>#REF!</v>
          </cell>
          <cell r="AQ43" t="e">
            <v>#REF!</v>
          </cell>
          <cell r="AU43" t="e">
            <v>#REF!</v>
          </cell>
          <cell r="AW43" t="e">
            <v>#REF!</v>
          </cell>
          <cell r="BA43" t="e">
            <v>#REF!</v>
          </cell>
          <cell r="BC43" t="e">
            <v>#REF!</v>
          </cell>
          <cell r="BE43" t="e">
            <v>#REF!</v>
          </cell>
          <cell r="BG43" t="e">
            <v>#REF!</v>
          </cell>
          <cell r="BI43" t="e">
            <v>#REF!</v>
          </cell>
        </row>
        <row r="45">
          <cell r="A45" t="str">
            <v>Pro Forma Adjustments:</v>
          </cell>
        </row>
        <row r="47">
          <cell r="A47" t="str">
            <v>QAF (SB-523)</v>
          </cell>
          <cell r="C47">
            <v>1</v>
          </cell>
          <cell r="S47">
            <v>3.4</v>
          </cell>
          <cell r="U47">
            <v>1</v>
          </cell>
          <cell r="W47">
            <v>3.4</v>
          </cell>
        </row>
        <row r="48">
          <cell r="A48" t="str">
            <v>CA equipment maintenance fees</v>
          </cell>
          <cell r="C48">
            <v>1</v>
          </cell>
          <cell r="E48">
            <v>0</v>
          </cell>
          <cell r="G48">
            <v>1</v>
          </cell>
          <cell r="I48">
            <v>0</v>
          </cell>
          <cell r="M48">
            <v>0</v>
          </cell>
          <cell r="O48">
            <v>1</v>
          </cell>
          <cell r="Q48">
            <v>0</v>
          </cell>
          <cell r="S48" t="e">
            <v>#REF!</v>
          </cell>
          <cell r="U48">
            <v>1</v>
          </cell>
          <cell r="W48" t="e">
            <v>#REF!</v>
          </cell>
          <cell r="Y48">
            <v>0</v>
          </cell>
          <cell r="AA48">
            <v>1</v>
          </cell>
          <cell r="AC48">
            <v>0</v>
          </cell>
          <cell r="AE48">
            <v>0</v>
          </cell>
          <cell r="AG48">
            <v>1</v>
          </cell>
          <cell r="AI48">
            <v>0</v>
          </cell>
          <cell r="AK48">
            <v>0</v>
          </cell>
          <cell r="AM48">
            <v>1</v>
          </cell>
          <cell r="AO48">
            <v>0</v>
          </cell>
          <cell r="AQ48">
            <v>0</v>
          </cell>
          <cell r="AS48">
            <v>1</v>
          </cell>
          <cell r="AU48">
            <v>0</v>
          </cell>
          <cell r="AW48">
            <v>0</v>
          </cell>
          <cell r="AY48">
            <v>1</v>
          </cell>
          <cell r="BA48">
            <v>0</v>
          </cell>
        </row>
        <row r="50">
          <cell r="A50" t="str">
            <v xml:space="preserve">Pro Forma EBITDA: </v>
          </cell>
          <cell r="E50" t="e">
            <v>#REF!</v>
          </cell>
          <cell r="I50" t="e">
            <v>#REF!</v>
          </cell>
          <cell r="M50" t="e">
            <v>#REF!</v>
          </cell>
          <cell r="Q50" t="e">
            <v>#REF!</v>
          </cell>
          <cell r="S50" t="e">
            <v>#REF!</v>
          </cell>
          <cell r="W50" t="e">
            <v>#REF!</v>
          </cell>
          <cell r="Y50" t="e">
            <v>#REF!</v>
          </cell>
          <cell r="AC50" t="e">
            <v>#REF!</v>
          </cell>
          <cell r="AE50" t="e">
            <v>#REF!</v>
          </cell>
          <cell r="AI50" t="e">
            <v>#REF!</v>
          </cell>
          <cell r="AK50" t="e">
            <v>#REF!</v>
          </cell>
          <cell r="AO50" t="e">
            <v>#REF!</v>
          </cell>
          <cell r="AQ50" t="e">
            <v>#REF!</v>
          </cell>
          <cell r="AU50" t="e">
            <v>#REF!</v>
          </cell>
          <cell r="AW50" t="e">
            <v>#REF!</v>
          </cell>
          <cell r="BA50" t="e">
            <v>#REF!</v>
          </cell>
          <cell r="BC50" t="e">
            <v>#REF!</v>
          </cell>
          <cell r="BE50" t="e">
            <v>#REF!</v>
          </cell>
          <cell r="BG50" t="e">
            <v>#REF!</v>
          </cell>
          <cell r="BI50" t="e">
            <v>#REF!</v>
          </cell>
        </row>
        <row r="51">
          <cell r="A51" t="str">
            <v>% Margin</v>
          </cell>
          <cell r="E51" t="e">
            <v>#REF!</v>
          </cell>
          <cell r="I51" t="e">
            <v>#REF!</v>
          </cell>
          <cell r="M51" t="e">
            <v>#REF!</v>
          </cell>
          <cell r="Q51" t="e">
            <v>#REF!</v>
          </cell>
          <cell r="S51" t="e">
            <v>#REF!</v>
          </cell>
          <cell r="W51" t="e">
            <v>#REF!</v>
          </cell>
          <cell r="Y51" t="e">
            <v>#REF!</v>
          </cell>
          <cell r="AC51" t="e">
            <v>#REF!</v>
          </cell>
          <cell r="AE51" t="e">
            <v>#REF!</v>
          </cell>
          <cell r="AI51" t="e">
            <v>#REF!</v>
          </cell>
          <cell r="AK51" t="e">
            <v>#REF!</v>
          </cell>
          <cell r="AO51" t="e">
            <v>#REF!</v>
          </cell>
          <cell r="AQ51" t="e">
            <v>#REF!</v>
          </cell>
          <cell r="AU51" t="e">
            <v>#REF!</v>
          </cell>
          <cell r="AW51" t="e">
            <v>#REF!</v>
          </cell>
          <cell r="BA51" t="e">
            <v>#REF!</v>
          </cell>
          <cell r="BC51" t="e">
            <v>#REF!</v>
          </cell>
          <cell r="BG51" t="e">
            <v>#REF!</v>
          </cell>
        </row>
        <row r="53">
          <cell r="A53">
            <v>2018</v>
          </cell>
          <cell r="W53">
            <v>1.8460000000000001</v>
          </cell>
          <cell r="AC53">
            <v>1.548</v>
          </cell>
          <cell r="AI53">
            <v>0.441</v>
          </cell>
          <cell r="AO53">
            <v>0</v>
          </cell>
        </row>
        <row r="54">
          <cell r="A54">
            <v>2019</v>
          </cell>
          <cell r="W54">
            <v>8.5359999999999996</v>
          </cell>
          <cell r="AC54">
            <v>1.272</v>
          </cell>
          <cell r="AI54">
            <v>0.25700000000000001</v>
          </cell>
          <cell r="AO54">
            <v>0.26</v>
          </cell>
        </row>
        <row r="55">
          <cell r="A55">
            <v>2020</v>
          </cell>
          <cell r="W55">
            <v>0</v>
          </cell>
          <cell r="AC55">
            <v>1.423</v>
          </cell>
          <cell r="AI55">
            <v>0</v>
          </cell>
          <cell r="AO55">
            <v>0.183</v>
          </cell>
        </row>
        <row r="56">
          <cell r="A56" t="str">
            <v xml:space="preserve">Projected Average CapEx: </v>
          </cell>
          <cell r="Q56">
            <v>0.41</v>
          </cell>
          <cell r="W56">
            <v>3.4606666666666666</v>
          </cell>
          <cell r="AC56">
            <v>1.4143333333333334</v>
          </cell>
          <cell r="AI56">
            <v>0.23266666666666666</v>
          </cell>
          <cell r="AO56">
            <v>0.14766666666666667</v>
          </cell>
          <cell r="AU56">
            <v>0</v>
          </cell>
          <cell r="BA56">
            <v>0</v>
          </cell>
        </row>
        <row r="58">
          <cell r="A58" t="str">
            <v xml:space="preserve">PF OCF (EBITDA - CapEx): </v>
          </cell>
          <cell r="M58" t="e">
            <v>#REF!</v>
          </cell>
          <cell r="Q58" t="e">
            <v>#REF!</v>
          </cell>
          <cell r="S58" t="e">
            <v>#REF!</v>
          </cell>
          <cell r="W58" t="e">
            <v>#REF!</v>
          </cell>
          <cell r="Y58" t="e">
            <v>#REF!</v>
          </cell>
          <cell r="AC58" t="e">
            <v>#REF!</v>
          </cell>
          <cell r="AE58" t="e">
            <v>#REF!</v>
          </cell>
          <cell r="AI58" t="e">
            <v>#REF!</v>
          </cell>
          <cell r="AK58" t="e">
            <v>#REF!</v>
          </cell>
          <cell r="AO58" t="e">
            <v>#REF!</v>
          </cell>
          <cell r="AQ58" t="e">
            <v>#REF!</v>
          </cell>
          <cell r="AU58" t="e">
            <v>#REF!</v>
          </cell>
          <cell r="AW58" t="e">
            <v>#REF!</v>
          </cell>
          <cell r="BA58" t="e">
            <v>#REF!</v>
          </cell>
          <cell r="BC58" t="e">
            <v>#REF!</v>
          </cell>
          <cell r="BE58" t="e">
            <v>#REF!</v>
          </cell>
          <cell r="BG58" t="e">
            <v>#REF!</v>
          </cell>
          <cell r="BI58" t="e">
            <v>#REF!</v>
          </cell>
        </row>
        <row r="59">
          <cell r="A59" t="str">
            <v>% Margin</v>
          </cell>
          <cell r="BC59" t="e">
            <v>#REF!</v>
          </cell>
          <cell r="BG59" t="e">
            <v>#REF!</v>
          </cell>
        </row>
        <row r="61">
          <cell r="A61" t="str">
            <v>% of Pre-Corporate:</v>
          </cell>
        </row>
        <row r="63">
          <cell r="A63" t="str">
            <v xml:space="preserve">EBITDA </v>
          </cell>
          <cell r="Q63" t="e">
            <v>#REF!</v>
          </cell>
          <cell r="W63" t="e">
            <v>#REF!</v>
          </cell>
          <cell r="AC63" t="e">
            <v>#REF!</v>
          </cell>
          <cell r="AI63" t="e">
            <v>#REF!</v>
          </cell>
          <cell r="AO63" t="e">
            <v>#REF!</v>
          </cell>
          <cell r="AU63" t="e">
            <v>#REF!</v>
          </cell>
          <cell r="BL63" t="e">
            <v>#REF!</v>
          </cell>
        </row>
        <row r="65">
          <cell r="A65" t="str">
            <v>OCF (EBITDA - CapEx)</v>
          </cell>
          <cell r="Q65" t="e">
            <v>#REF!</v>
          </cell>
          <cell r="W65" t="e">
            <v>#REF!</v>
          </cell>
          <cell r="AC65" t="e">
            <v>#REF!</v>
          </cell>
          <cell r="AI65" t="e">
            <v>#REF!</v>
          </cell>
          <cell r="AO65" t="e">
            <v>#REF!</v>
          </cell>
          <cell r="AU65" t="e">
            <v>#REF!</v>
          </cell>
          <cell r="BL65" t="e">
            <v>#REF!</v>
          </cell>
        </row>
        <row r="71">
          <cell r="A71" t="str">
            <v>Revenue:</v>
          </cell>
          <cell r="E71" t="e">
            <v>#REF!</v>
          </cell>
          <cell r="I71" t="e">
            <v>#REF!</v>
          </cell>
          <cell r="M71" t="e">
            <v>#REF!</v>
          </cell>
          <cell r="Q71" t="e">
            <v>#REF!</v>
          </cell>
          <cell r="S71" t="e">
            <v>#REF!</v>
          </cell>
          <cell r="W71" t="e">
            <v>#REF!</v>
          </cell>
          <cell r="Y71" t="e">
            <v>#REF!</v>
          </cell>
          <cell r="AC71" t="e">
            <v>#REF!</v>
          </cell>
          <cell r="AE71" t="e">
            <v>#REF!</v>
          </cell>
          <cell r="AI71" t="e">
            <v>#REF!</v>
          </cell>
          <cell r="AK71" t="e">
            <v>#REF!</v>
          </cell>
          <cell r="AO71" t="e">
            <v>#REF!</v>
          </cell>
          <cell r="AQ71" t="e">
            <v>#REF!</v>
          </cell>
          <cell r="AU71" t="e">
            <v>#REF!</v>
          </cell>
          <cell r="AW71" t="e">
            <v>#REF!</v>
          </cell>
          <cell r="BA71" t="e">
            <v>#REF!</v>
          </cell>
          <cell r="BC71" t="e">
            <v>#REF!</v>
          </cell>
          <cell r="BG71" t="e">
            <v>#REF!</v>
          </cell>
        </row>
        <row r="79">
          <cell r="BK79" t="str">
            <v>ARDENT DEAL ASSUMPTIONS:</v>
          </cell>
        </row>
        <row r="81">
          <cell r="BK81" t="str">
            <v>Ardent Mgmt Fee</v>
          </cell>
          <cell r="BL81" t="e">
            <v>#REF!</v>
          </cell>
        </row>
        <row r="82">
          <cell r="BK82" t="str">
            <v>Waco / Wylie EBITDA</v>
          </cell>
          <cell r="BL82" t="e">
            <v>#REF!</v>
          </cell>
        </row>
        <row r="83">
          <cell r="BK83" t="str">
            <v>Ardent Royalty</v>
          </cell>
          <cell r="BL83" t="e">
            <v>#REF!</v>
          </cell>
        </row>
        <row r="84">
          <cell r="BK84" t="str">
            <v xml:space="preserve">Total TX EBITDA </v>
          </cell>
          <cell r="BL84" t="e">
            <v>#REF!</v>
          </cell>
        </row>
        <row r="89">
          <cell r="BK89" t="str">
            <v>Waco / Wylie CapEx</v>
          </cell>
          <cell r="BL89" t="e">
            <v>#REF!</v>
          </cell>
        </row>
        <row r="91">
          <cell r="BK91" t="str">
            <v xml:space="preserve">Total TX OCF </v>
          </cell>
          <cell r="BL91" t="e">
            <v>#REF!</v>
          </cell>
        </row>
      </sheetData>
      <sheetData sheetId="28">
        <row r="2">
          <cell r="B2" t="str">
            <v xml:space="preserve">Review of Texas Options </v>
          </cell>
        </row>
        <row r="4">
          <cell r="F4" t="str">
            <v>Proposals</v>
          </cell>
        </row>
        <row r="6">
          <cell r="B6" t="str">
            <v>($MM)</v>
          </cell>
          <cell r="D6" t="str">
            <v xml:space="preserve">Current Standalone </v>
          </cell>
          <cell r="F6" t="str">
            <v xml:space="preserve">AMCP Initial Proposal </v>
          </cell>
          <cell r="H6" t="str">
            <v xml:space="preserve">Ardent
 Counter - 1 </v>
          </cell>
          <cell r="J6" t="str">
            <v xml:space="preserve">AMCP
 Counter - 1  </v>
          </cell>
          <cell r="L6" t="str">
            <v>2018E Standalone</v>
          </cell>
          <cell r="P6" t="str">
            <v>DO NOT DELETE</v>
          </cell>
        </row>
        <row r="7">
          <cell r="B7" t="str">
            <v>TX Revenue:</v>
          </cell>
        </row>
        <row r="8">
          <cell r="B8" t="str">
            <v xml:space="preserve">Total Revenues </v>
          </cell>
          <cell r="D8">
            <v>26.113</v>
          </cell>
          <cell r="F8">
            <v>0</v>
          </cell>
          <cell r="H8">
            <v>0</v>
          </cell>
          <cell r="J8">
            <v>0</v>
          </cell>
          <cell r="L8">
            <v>0</v>
          </cell>
        </row>
        <row r="9">
          <cell r="B9" t="str">
            <v xml:space="preserve">Billing Process Change </v>
          </cell>
          <cell r="D9">
            <v>2.2090000000000001</v>
          </cell>
          <cell r="F9">
            <v>0</v>
          </cell>
          <cell r="H9">
            <v>0</v>
          </cell>
          <cell r="J9">
            <v>0</v>
          </cell>
          <cell r="L9">
            <v>0</v>
          </cell>
        </row>
        <row r="10">
          <cell r="B10" t="str">
            <v xml:space="preserve">Accrual Accounting </v>
          </cell>
          <cell r="D10">
            <v>0.88900000000000001</v>
          </cell>
          <cell r="F10">
            <v>0</v>
          </cell>
          <cell r="H10">
            <v>0</v>
          </cell>
          <cell r="J10">
            <v>0</v>
          </cell>
          <cell r="L10">
            <v>0</v>
          </cell>
        </row>
        <row r="11">
          <cell r="B11" t="str">
            <v>10% Increased Collection Rate</v>
          </cell>
          <cell r="D11">
            <v>1.1359999999999999</v>
          </cell>
          <cell r="F11">
            <v>0</v>
          </cell>
          <cell r="H11">
            <v>0</v>
          </cell>
          <cell r="J11">
            <v>0</v>
          </cell>
          <cell r="L11">
            <v>0</v>
          </cell>
        </row>
        <row r="12">
          <cell r="B12" t="str">
            <v xml:space="preserve">Total TX Revenue </v>
          </cell>
          <cell r="D12">
            <v>30.346999999999998</v>
          </cell>
          <cell r="F12">
            <v>0</v>
          </cell>
          <cell r="H12">
            <v>0</v>
          </cell>
          <cell r="J12">
            <v>0</v>
          </cell>
          <cell r="L12">
            <v>0</v>
          </cell>
        </row>
        <row r="14">
          <cell r="B14" t="str">
            <v>Implied Revenue:</v>
          </cell>
          <cell r="P14" t="str">
            <v>Adj. Op Inc.</v>
          </cell>
          <cell r="R14" t="str">
            <v xml:space="preserve">Total Costs </v>
          </cell>
          <cell r="T14" t="str">
            <v xml:space="preserve">Revenue </v>
          </cell>
        </row>
        <row r="15">
          <cell r="B15" t="str">
            <v>Reimbursement</v>
          </cell>
          <cell r="D15">
            <v>0</v>
          </cell>
          <cell r="F15">
            <v>32.672000000000004</v>
          </cell>
          <cell r="H15">
            <v>2.016</v>
          </cell>
          <cell r="J15">
            <v>5.7900000000000009</v>
          </cell>
          <cell r="L15">
            <v>0</v>
          </cell>
          <cell r="P15">
            <v>-2.3260000000000001</v>
          </cell>
          <cell r="R15">
            <v>32.671999999999997</v>
          </cell>
          <cell r="T15">
            <v>30.345999999999997</v>
          </cell>
        </row>
        <row r="16">
          <cell r="B16" t="str">
            <v>Fee</v>
          </cell>
          <cell r="D16">
            <v>0</v>
          </cell>
          <cell r="F16">
            <v>4.0840000000000005</v>
          </cell>
          <cell r="H16">
            <v>1</v>
          </cell>
          <cell r="J16">
            <v>0.72375000000000012</v>
          </cell>
          <cell r="L16">
            <v>0</v>
          </cell>
        </row>
        <row r="17">
          <cell r="B17" t="str">
            <v xml:space="preserve">Total Implied Revenue </v>
          </cell>
          <cell r="D17">
            <v>0</v>
          </cell>
          <cell r="F17">
            <v>36.756000000000007</v>
          </cell>
          <cell r="H17">
            <v>3.016</v>
          </cell>
          <cell r="J17">
            <v>6.5137500000000008</v>
          </cell>
          <cell r="L17">
            <v>0</v>
          </cell>
        </row>
        <row r="18">
          <cell r="B18" t="str">
            <v>Revenue Adjustments:</v>
          </cell>
          <cell r="P18" t="str">
            <v>Adj. Op Inc.</v>
          </cell>
          <cell r="R18" t="str">
            <v xml:space="preserve">Total Costs </v>
          </cell>
          <cell r="T18" t="str">
            <v xml:space="preserve">Revenue </v>
          </cell>
        </row>
        <row r="19">
          <cell r="B19" t="str">
            <v>Waco + Wylie Revenues</v>
          </cell>
          <cell r="D19">
            <v>0</v>
          </cell>
          <cell r="F19">
            <v>0</v>
          </cell>
          <cell r="H19">
            <v>0</v>
          </cell>
          <cell r="J19">
            <v>10.4268</v>
          </cell>
          <cell r="L19">
            <v>0</v>
          </cell>
          <cell r="P19">
            <v>3.0588000000000002</v>
          </cell>
          <cell r="R19">
            <v>7.3680000000000003</v>
          </cell>
          <cell r="T19">
            <v>10.4268</v>
          </cell>
        </row>
        <row r="20">
          <cell r="B20" t="str">
            <v xml:space="preserve">Revenue </v>
          </cell>
          <cell r="D20">
            <v>30.346999999999998</v>
          </cell>
          <cell r="F20">
            <v>36.756000000000007</v>
          </cell>
          <cell r="H20">
            <v>3.016</v>
          </cell>
          <cell r="J20">
            <v>16.940550000000002</v>
          </cell>
          <cell r="L20">
            <v>30.161999999999999</v>
          </cell>
        </row>
        <row r="22">
          <cell r="B22" t="str">
            <v>Operating Expenses:</v>
          </cell>
        </row>
        <row r="23">
          <cell r="B23" t="str">
            <v xml:space="preserve">Salaries, Wages, Benefits </v>
          </cell>
          <cell r="D23">
            <v>21.896999999999998</v>
          </cell>
          <cell r="F23">
            <v>21.896999999999998</v>
          </cell>
          <cell r="H23">
            <v>0</v>
          </cell>
          <cell r="J23">
            <v>0</v>
          </cell>
          <cell r="L23">
            <v>0</v>
          </cell>
        </row>
        <row r="24">
          <cell r="B24" t="str">
            <v xml:space="preserve">All Other </v>
          </cell>
          <cell r="D24">
            <v>5.8730000000000002</v>
          </cell>
          <cell r="F24">
            <v>5.8730000000000002</v>
          </cell>
          <cell r="H24">
            <v>0</v>
          </cell>
          <cell r="J24">
            <v>0</v>
          </cell>
          <cell r="L24">
            <v>0</v>
          </cell>
        </row>
        <row r="26">
          <cell r="B26" t="str">
            <v>System Fee:</v>
          </cell>
        </row>
        <row r="27">
          <cell r="B27" t="str">
            <v>HR</v>
          </cell>
          <cell r="D27">
            <v>0</v>
          </cell>
          <cell r="F27">
            <v>0</v>
          </cell>
          <cell r="H27">
            <v>0</v>
          </cell>
          <cell r="J27">
            <v>0</v>
          </cell>
          <cell r="L27">
            <v>0</v>
          </cell>
        </row>
        <row r="28">
          <cell r="B28" t="str">
            <v>Payroll</v>
          </cell>
          <cell r="D28">
            <v>0</v>
          </cell>
          <cell r="F28">
            <v>0</v>
          </cell>
          <cell r="H28">
            <v>0</v>
          </cell>
          <cell r="J28">
            <v>0</v>
          </cell>
          <cell r="L28">
            <v>0</v>
          </cell>
        </row>
        <row r="29">
          <cell r="B29" t="str">
            <v>A/P</v>
          </cell>
          <cell r="D29">
            <v>0</v>
          </cell>
          <cell r="F29">
            <v>0</v>
          </cell>
          <cell r="H29">
            <v>0</v>
          </cell>
          <cell r="J29">
            <v>0</v>
          </cell>
          <cell r="L29">
            <v>0</v>
          </cell>
        </row>
        <row r="30">
          <cell r="B30" t="str">
            <v>I/T</v>
          </cell>
          <cell r="D30">
            <v>0</v>
          </cell>
          <cell r="F30">
            <v>0</v>
          </cell>
          <cell r="H30">
            <v>0</v>
          </cell>
          <cell r="J30">
            <v>0</v>
          </cell>
          <cell r="L30">
            <v>0</v>
          </cell>
        </row>
        <row r="31">
          <cell r="B31" t="str">
            <v xml:space="preserve">Other </v>
          </cell>
          <cell r="D31">
            <v>0</v>
          </cell>
          <cell r="F31">
            <v>0</v>
          </cell>
          <cell r="H31">
            <v>0</v>
          </cell>
          <cell r="J31">
            <v>0</v>
          </cell>
          <cell r="L31">
            <v>0</v>
          </cell>
        </row>
        <row r="32">
          <cell r="B32" t="str">
            <v>Total System Fee</v>
          </cell>
          <cell r="D32">
            <v>2.016</v>
          </cell>
          <cell r="F32">
            <v>2.016</v>
          </cell>
          <cell r="H32">
            <v>2.016</v>
          </cell>
          <cell r="J32">
            <v>1.79</v>
          </cell>
          <cell r="L32">
            <v>0</v>
          </cell>
        </row>
        <row r="34">
          <cell r="B34" t="str">
            <v>Intercompany Rent</v>
          </cell>
          <cell r="D34">
            <v>0.22800000000000001</v>
          </cell>
          <cell r="F34">
            <v>0.22800000000000001</v>
          </cell>
          <cell r="H34">
            <v>0</v>
          </cell>
          <cell r="J34">
            <v>0</v>
          </cell>
          <cell r="L34">
            <v>0</v>
          </cell>
        </row>
        <row r="35">
          <cell r="B35" t="str">
            <v>Interest (Non Financial)</v>
          </cell>
          <cell r="D35">
            <v>7.2999999999999995E-2</v>
          </cell>
          <cell r="F35">
            <v>7.2999999999999995E-2</v>
          </cell>
          <cell r="H35">
            <v>0</v>
          </cell>
          <cell r="J35">
            <v>0</v>
          </cell>
          <cell r="L35">
            <v>0</v>
          </cell>
        </row>
        <row r="36">
          <cell r="B36" t="str">
            <v>Depreciation (CapEx)</v>
          </cell>
          <cell r="D36">
            <v>2.585</v>
          </cell>
          <cell r="F36">
            <v>2.585</v>
          </cell>
          <cell r="H36">
            <v>0</v>
          </cell>
          <cell r="J36">
            <v>0</v>
          </cell>
          <cell r="L36">
            <v>0</v>
          </cell>
        </row>
        <row r="38">
          <cell r="B38" t="str">
            <v>Expense Adjustments:</v>
          </cell>
        </row>
        <row r="39">
          <cell r="B39" t="str">
            <v>Wylie + Waco OpEx (excl. depr) (Not Passed Through)</v>
          </cell>
          <cell r="D39">
            <v>0</v>
          </cell>
          <cell r="F39">
            <v>0</v>
          </cell>
          <cell r="H39">
            <v>0</v>
          </cell>
          <cell r="J39">
            <v>7.0680000000000005</v>
          </cell>
          <cell r="L39">
            <v>0</v>
          </cell>
        </row>
        <row r="40">
          <cell r="B40" t="str">
            <v>Wylie + Waco Depreciation (Not Passed Through)</v>
          </cell>
          <cell r="D40">
            <v>0</v>
          </cell>
          <cell r="F40">
            <v>0</v>
          </cell>
          <cell r="H40">
            <v>0</v>
          </cell>
          <cell r="J40">
            <v>0.3</v>
          </cell>
          <cell r="L40">
            <v>0</v>
          </cell>
        </row>
        <row r="41">
          <cell r="B41" t="str">
            <v>Call / Dispatch Center (Personnel, Rent, Etc.)</v>
          </cell>
          <cell r="D41">
            <v>0</v>
          </cell>
          <cell r="F41">
            <v>0</v>
          </cell>
          <cell r="H41">
            <v>0</v>
          </cell>
          <cell r="J41">
            <v>2</v>
          </cell>
          <cell r="L41">
            <v>0</v>
          </cell>
        </row>
        <row r="42">
          <cell r="B42" t="str">
            <v xml:space="preserve">Air One </v>
          </cell>
          <cell r="D42">
            <v>0</v>
          </cell>
          <cell r="F42">
            <v>0</v>
          </cell>
          <cell r="H42">
            <v>0</v>
          </cell>
          <cell r="J42">
            <v>1</v>
          </cell>
          <cell r="L42">
            <v>0</v>
          </cell>
        </row>
        <row r="43">
          <cell r="B43" t="str">
            <v>TX Management Team</v>
          </cell>
          <cell r="D43">
            <v>0</v>
          </cell>
          <cell r="F43">
            <v>0</v>
          </cell>
          <cell r="H43">
            <v>0</v>
          </cell>
          <cell r="J43">
            <v>1</v>
          </cell>
          <cell r="L43">
            <v>0</v>
          </cell>
        </row>
        <row r="44">
          <cell r="B44" t="str">
            <v xml:space="preserve">EXPENSE ADJUSTMENTS: </v>
          </cell>
          <cell r="D44">
            <v>0</v>
          </cell>
          <cell r="F44">
            <v>0</v>
          </cell>
          <cell r="H44">
            <v>0</v>
          </cell>
          <cell r="J44">
            <v>11.368</v>
          </cell>
          <cell r="L44">
            <v>0</v>
          </cell>
        </row>
        <row r="47">
          <cell r="B47" t="str">
            <v xml:space="preserve">Total Costs </v>
          </cell>
          <cell r="D47">
            <v>32.672000000000004</v>
          </cell>
          <cell r="F47">
            <v>32.672000000000004</v>
          </cell>
          <cell r="H47">
            <v>2.016</v>
          </cell>
          <cell r="J47">
            <v>13.158000000000001</v>
          </cell>
          <cell r="L47">
            <v>30.936999999999998</v>
          </cell>
        </row>
        <row r="48">
          <cell r="B48" t="str">
            <v xml:space="preserve">% Revenue </v>
          </cell>
          <cell r="D48">
            <v>1.0766138333278414</v>
          </cell>
          <cell r="F48">
            <v>0.88888888888888884</v>
          </cell>
          <cell r="H48">
            <v>0.66843501326259946</v>
          </cell>
          <cell r="J48">
            <v>0.77671622231863779</v>
          </cell>
          <cell r="L48">
            <v>1.0256945825873616</v>
          </cell>
        </row>
        <row r="50">
          <cell r="B50" t="str">
            <v>EBIT</v>
          </cell>
          <cell r="D50">
            <v>-2.3250000000000064</v>
          </cell>
          <cell r="F50">
            <v>4.0840000000000032</v>
          </cell>
          <cell r="H50">
            <v>1</v>
          </cell>
          <cell r="J50">
            <v>3.7825500000000005</v>
          </cell>
          <cell r="L50">
            <v>-0.77499999999999991</v>
          </cell>
        </row>
        <row r="51">
          <cell r="B51" t="str">
            <v xml:space="preserve">EBIT Margin % </v>
          </cell>
          <cell r="D51" t="str">
            <v>NA</v>
          </cell>
          <cell r="F51">
            <v>0.11111111111111117</v>
          </cell>
          <cell r="H51">
            <v>0.33156498673740054</v>
          </cell>
          <cell r="J51">
            <v>0.22328377768136218</v>
          </cell>
          <cell r="L51">
            <v>-2.569458258736158E-2</v>
          </cell>
        </row>
        <row r="53">
          <cell r="B53" t="str">
            <v>EBITDA (Pre-Corporate)</v>
          </cell>
          <cell r="D53">
            <v>2.2759999999999936</v>
          </cell>
          <cell r="F53">
            <v>8.6850000000000023</v>
          </cell>
          <cell r="H53">
            <v>3.016</v>
          </cell>
          <cell r="J53">
            <v>5.8725500000000004</v>
          </cell>
          <cell r="L53">
            <v>1.8180000000000001</v>
          </cell>
        </row>
        <row r="54">
          <cell r="B54" t="str">
            <v xml:space="preserve">EBITDA Margin % </v>
          </cell>
          <cell r="D54">
            <v>7.4999176195340356E-2</v>
          </cell>
          <cell r="F54">
            <v>0.2362879529872674</v>
          </cell>
          <cell r="H54">
            <v>1</v>
          </cell>
          <cell r="J54">
            <v>0.3466563954535124</v>
          </cell>
          <cell r="L54">
            <v>6.0274517604933367E-2</v>
          </cell>
        </row>
        <row r="56">
          <cell r="B56" t="str">
            <v xml:space="preserve">EBITDA </v>
          </cell>
          <cell r="D56">
            <v>0.25999999999999357</v>
          </cell>
          <cell r="F56">
            <v>6.6690000000000031</v>
          </cell>
          <cell r="H56">
            <v>1</v>
          </cell>
          <cell r="J56">
            <v>4.0825500000000003</v>
          </cell>
          <cell r="L56">
            <v>1.8180000000000001</v>
          </cell>
        </row>
        <row r="57">
          <cell r="B57" t="str">
            <v xml:space="preserve">EBITDA Margin % </v>
          </cell>
          <cell r="D57">
            <v>8.5675684581669881E-3</v>
          </cell>
          <cell r="F57">
            <v>0.18143976493633698</v>
          </cell>
          <cell r="H57">
            <v>0.33156498673740054</v>
          </cell>
          <cell r="J57">
            <v>0.24099276587832152</v>
          </cell>
          <cell r="L57">
            <v>6.0274517604933367E-2</v>
          </cell>
        </row>
        <row r="59">
          <cell r="B59" t="str">
            <v>OCF (EBITDA - CapEx)</v>
          </cell>
          <cell r="D59">
            <v>-2.3250000000000064</v>
          </cell>
          <cell r="F59">
            <v>4.0840000000000032</v>
          </cell>
          <cell r="H59">
            <v>1</v>
          </cell>
          <cell r="J59">
            <v>3.7825500000000005</v>
          </cell>
          <cell r="L59">
            <v>1.8180000000000001</v>
          </cell>
        </row>
        <row r="60">
          <cell r="B60" t="str">
            <v xml:space="preserve">OCF Margin % </v>
          </cell>
          <cell r="D60">
            <v>-7.6613833327841524E-2</v>
          </cell>
          <cell r="F60">
            <v>0.11111111111111117</v>
          </cell>
          <cell r="H60">
            <v>0.33156498673740054</v>
          </cell>
          <cell r="J60">
            <v>0.22328377768136218</v>
          </cell>
          <cell r="L60">
            <v>6.0274517604933367E-2</v>
          </cell>
        </row>
        <row r="62">
          <cell r="B62" t="str">
            <v xml:space="preserve">Ardent subsidy to Paramedics Plus </v>
          </cell>
          <cell r="F62">
            <v>4.0840000000000005</v>
          </cell>
          <cell r="H62">
            <v>1</v>
          </cell>
          <cell r="J62">
            <v>0.72375000000000012</v>
          </cell>
        </row>
        <row r="64">
          <cell r="B64" t="str">
            <v>Notes:</v>
          </cell>
        </row>
        <row r="65">
          <cell r="B65" t="str">
            <v>(1) $1mm management fee estimated.</v>
          </cell>
        </row>
        <row r="66">
          <cell r="B66" t="str">
            <v xml:space="preserve">(2) Equal to $1.8mm system fee, $2.0mm call/dispatch center expenses, $1.0mm Air One costs and $1.0mm TX management team costs. </v>
          </cell>
        </row>
        <row r="67">
          <cell r="B67" t="str">
            <v>(3) Based on an assumed 12.5% fee.</v>
          </cell>
        </row>
      </sheetData>
      <sheetData sheetId="29"/>
      <sheetData sheetId="30"/>
      <sheetData sheetId="31"/>
      <sheetData sheetId="32">
        <row r="4">
          <cell r="C4" t="str">
            <v xml:space="preserve">Paramedics Plus Transaction Comparables </v>
          </cell>
        </row>
        <row r="7">
          <cell r="C7" t="str">
            <v>Date</v>
          </cell>
          <cell r="E7" t="str">
            <v>Target</v>
          </cell>
          <cell r="G7" t="str">
            <v>Acquiror</v>
          </cell>
          <cell r="I7" t="str">
            <v>Enterprise Value</v>
          </cell>
          <cell r="K7" t="str">
            <v>EBITDA</v>
          </cell>
          <cell r="M7" t="str">
            <v>EV / EBITDA</v>
          </cell>
        </row>
        <row r="9">
          <cell r="C9">
            <v>42955</v>
          </cell>
          <cell r="D9">
            <v>0</v>
          </cell>
          <cell r="E9" t="str">
            <v>American Medical Response (AMR)</v>
          </cell>
          <cell r="G9" t="str">
            <v>Air Medical (KKR)</v>
          </cell>
          <cell r="I9">
            <v>2400</v>
          </cell>
          <cell r="K9">
            <v>253</v>
          </cell>
          <cell r="M9">
            <v>10</v>
          </cell>
        </row>
        <row r="10">
          <cell r="C10">
            <v>42798</v>
          </cell>
          <cell r="E10" t="str">
            <v>Air Methods</v>
          </cell>
          <cell r="G10" t="str">
            <v>American Securities</v>
          </cell>
          <cell r="I10">
            <v>2463.6999999999998</v>
          </cell>
          <cell r="K10">
            <v>304.16049382716051</v>
          </cell>
          <cell r="M10">
            <v>8.1</v>
          </cell>
        </row>
        <row r="11">
          <cell r="C11">
            <v>42388</v>
          </cell>
          <cell r="E11" t="str">
            <v>Tri-State Care Flight</v>
          </cell>
          <cell r="G11" t="str">
            <v>Air Methods</v>
          </cell>
          <cell r="I11">
            <v>222.5</v>
          </cell>
          <cell r="K11">
            <v>20.990566037735849</v>
          </cell>
          <cell r="M11">
            <v>10.6</v>
          </cell>
        </row>
        <row r="12">
          <cell r="C12">
            <v>42215</v>
          </cell>
          <cell r="E12" t="str">
            <v>Rural Metro</v>
          </cell>
          <cell r="G12" t="str">
            <v>Envision (AMR)</v>
          </cell>
          <cell r="I12">
            <v>620</v>
          </cell>
          <cell r="K12">
            <v>60.194174757281552</v>
          </cell>
          <cell r="M12">
            <v>10.3</v>
          </cell>
        </row>
        <row r="13">
          <cell r="C13">
            <v>42074</v>
          </cell>
          <cell r="E13" t="str">
            <v>Air Medical</v>
          </cell>
          <cell r="G13" t="str">
            <v>KKR</v>
          </cell>
          <cell r="I13">
            <v>2000</v>
          </cell>
          <cell r="K13">
            <v>222.22222222222223</v>
          </cell>
          <cell r="M13">
            <v>9</v>
          </cell>
        </row>
        <row r="14">
          <cell r="C14">
            <v>40630</v>
          </cell>
          <cell r="E14" t="str">
            <v>Rural Metro</v>
          </cell>
          <cell r="G14" t="str">
            <v>Warburg Pincus</v>
          </cell>
          <cell r="I14">
            <v>688.7</v>
          </cell>
          <cell r="K14">
            <v>81.023529411764713</v>
          </cell>
          <cell r="M14">
            <v>8.5</v>
          </cell>
        </row>
        <row r="15">
          <cell r="C15">
            <v>38489</v>
          </cell>
          <cell r="E15" t="str">
            <v>Emergency Medical Service Corp (AMR)</v>
          </cell>
          <cell r="G15" t="str">
            <v xml:space="preserve">Clayton, Dubilier &amp; Rice </v>
          </cell>
          <cell r="I15">
            <v>938.3</v>
          </cell>
          <cell r="K15">
            <v>111.70238095238095</v>
          </cell>
          <cell r="M15">
            <v>8.4</v>
          </cell>
        </row>
        <row r="17">
          <cell r="K17" t="str">
            <v>Average</v>
          </cell>
          <cell r="M17">
            <v>9.2714285714285722</v>
          </cell>
        </row>
      </sheetData>
      <sheetData sheetId="33">
        <row r="1">
          <cell r="A1" t="str">
            <v>Aging Calculation</v>
          </cell>
        </row>
        <row r="4">
          <cell r="A4" t="str">
            <v>Alameda</v>
          </cell>
          <cell r="L4" t="str">
            <v>Combined ~PP</v>
          </cell>
        </row>
        <row r="5">
          <cell r="A5" t="str">
            <v>Aging Metrics (Billing Period)</v>
          </cell>
          <cell r="B5" t="str">
            <v>0-30 Days</v>
          </cell>
          <cell r="C5" t="str">
            <v>31-60 Days</v>
          </cell>
          <cell r="D5" t="str">
            <v>61-90 Days</v>
          </cell>
          <cell r="E5" t="str">
            <v>91-120 Days</v>
          </cell>
          <cell r="F5" t="str">
            <v>121+</v>
          </cell>
          <cell r="G5" t="str">
            <v>Grand Total</v>
          </cell>
          <cell r="H5" t="str">
            <v>% of A/R</v>
          </cell>
          <cell r="I5" t="str">
            <v>collection rate</v>
          </cell>
          <cell r="J5" t="str">
            <v>AR</v>
          </cell>
          <cell r="K5" t="str">
            <v>PP</v>
          </cell>
          <cell r="L5" t="str">
            <v xml:space="preserve">Aging Metrics </v>
          </cell>
          <cell r="M5" t="str">
            <v>0-30 Days</v>
          </cell>
          <cell r="N5" t="str">
            <v>31-60 Days</v>
          </cell>
          <cell r="O5" t="str">
            <v>61-90 Days</v>
          </cell>
          <cell r="P5" t="str">
            <v>91-120 Days</v>
          </cell>
          <cell r="Q5" t="str">
            <v>121+</v>
          </cell>
          <cell r="R5" t="str">
            <v>Grand Total</v>
          </cell>
          <cell r="S5" t="str">
            <v>% of A/R</v>
          </cell>
        </row>
        <row r="6">
          <cell r="A6" t="str">
            <v>&lt;none&gt;</v>
          </cell>
          <cell r="B6">
            <v>0</v>
          </cell>
          <cell r="C6">
            <v>0</v>
          </cell>
          <cell r="D6">
            <v>0</v>
          </cell>
          <cell r="E6">
            <v>0</v>
          </cell>
          <cell r="F6">
            <v>0</v>
          </cell>
          <cell r="G6">
            <v>0</v>
          </cell>
          <cell r="H6">
            <v>0</v>
          </cell>
        </row>
        <row r="7">
          <cell r="A7" t="str">
            <v>Facility</v>
          </cell>
          <cell r="B7">
            <v>513153.74</v>
          </cell>
          <cell r="C7">
            <v>311315.88</v>
          </cell>
          <cell r="D7">
            <v>223232.16</v>
          </cell>
          <cell r="E7">
            <v>7151.07</v>
          </cell>
          <cell r="F7">
            <v>0</v>
          </cell>
          <cell r="G7">
            <v>1054852.8500000001</v>
          </cell>
          <cell r="H7">
            <v>2.3043091041621767E-2</v>
          </cell>
          <cell r="I7">
            <v>0.9</v>
          </cell>
          <cell r="J7">
            <v>949367.56500000006</v>
          </cell>
          <cell r="K7">
            <v>1193138.496</v>
          </cell>
          <cell r="L7" t="str">
            <v>Facility</v>
          </cell>
          <cell r="M7">
            <v>648674.69076183322</v>
          </cell>
          <cell r="N7">
            <v>377456.56189812196</v>
          </cell>
          <cell r="O7">
            <v>223310.14984053149</v>
          </cell>
          <cell r="P7">
            <v>18300.034735598143</v>
          </cell>
          <cell r="Q7">
            <v>-1611.6131538202044</v>
          </cell>
          <cell r="R7">
            <v>1266129.8240822647</v>
          </cell>
          <cell r="S7">
            <v>9.1892607806794799E-2</v>
          </cell>
        </row>
        <row r="8">
          <cell r="A8" t="str">
            <v>Insurance</v>
          </cell>
          <cell r="B8">
            <v>4382988.2300000004</v>
          </cell>
          <cell r="C8">
            <v>628459.17000000004</v>
          </cell>
          <cell r="D8">
            <v>358328.58</v>
          </cell>
          <cell r="E8">
            <v>240029.99</v>
          </cell>
          <cell r="F8">
            <v>-628.9900000000016</v>
          </cell>
          <cell r="G8">
            <v>5609176.9800000004</v>
          </cell>
          <cell r="H8">
            <v>0.12253156998979435</v>
          </cell>
          <cell r="I8">
            <v>0.84499999999999997</v>
          </cell>
          <cell r="J8">
            <v>4739754.5481000002</v>
          </cell>
          <cell r="K8">
            <v>5034710.8141200002</v>
          </cell>
          <cell r="L8" t="str">
            <v>Insurance</v>
          </cell>
          <cell r="M8">
            <v>4166618.0024408726</v>
          </cell>
          <cell r="N8">
            <v>608069.35814712092</v>
          </cell>
          <cell r="O8">
            <v>344112.92008796829</v>
          </cell>
          <cell r="P8">
            <v>219755.01261151044</v>
          </cell>
          <cell r="Q8">
            <v>4158.5146716937816</v>
          </cell>
          <cell r="R8">
            <v>5342713.8079591654</v>
          </cell>
          <cell r="S8">
            <v>0.38776110888518156</v>
          </cell>
        </row>
        <row r="9">
          <cell r="A9" t="str">
            <v>Medicaid</v>
          </cell>
          <cell r="B9">
            <v>2723693.32</v>
          </cell>
          <cell r="C9">
            <v>224779.55</v>
          </cell>
          <cell r="D9">
            <v>63515.78</v>
          </cell>
          <cell r="E9">
            <v>22236.59</v>
          </cell>
          <cell r="F9">
            <v>7749.7199999999993</v>
          </cell>
          <cell r="G9">
            <v>3041974.9599999995</v>
          </cell>
          <cell r="H9">
            <v>6.6451454294894033E-2</v>
          </cell>
          <cell r="I9">
            <v>6.8000000000000005E-2</v>
          </cell>
          <cell r="J9">
            <v>206854.29727999997</v>
          </cell>
          <cell r="K9">
            <v>237925.20952999996</v>
          </cell>
          <cell r="L9" t="str">
            <v>Medicaid</v>
          </cell>
          <cell r="M9">
            <v>224431.96759219584</v>
          </cell>
          <cell r="N9">
            <v>19302.536847435575</v>
          </cell>
          <cell r="O9">
            <v>5751.2607449638226</v>
          </cell>
          <cell r="P9">
            <v>2341.2228885090626</v>
          </cell>
          <cell r="Q9">
            <v>653.5116315626733</v>
          </cell>
          <cell r="R9">
            <v>252480.49970466696</v>
          </cell>
          <cell r="S9">
            <v>1.8324417525700017E-2</v>
          </cell>
        </row>
        <row r="10">
          <cell r="A10" t="str">
            <v>Medicaid MCO</v>
          </cell>
          <cell r="B10">
            <v>5399414.5499999998</v>
          </cell>
          <cell r="C10">
            <v>1445303.74</v>
          </cell>
          <cell r="D10">
            <v>151284.49</v>
          </cell>
          <cell r="E10">
            <v>141223.15</v>
          </cell>
          <cell r="F10">
            <v>-11490.720000000001</v>
          </cell>
          <cell r="G10">
            <v>7125735.2100000009</v>
          </cell>
          <cell r="H10">
            <v>0.15566054088256936</v>
          </cell>
          <cell r="I10">
            <v>6.8000000000000005E-2</v>
          </cell>
          <cell r="J10">
            <v>484549.9942800001</v>
          </cell>
          <cell r="K10">
            <v>485034.64978000009</v>
          </cell>
          <cell r="L10" t="str">
            <v>Medicaid MCO</v>
          </cell>
          <cell r="M10">
            <v>389954.02141421463</v>
          </cell>
          <cell r="N10">
            <v>104462.49566091054</v>
          </cell>
          <cell r="O10">
            <v>10923.356618387028</v>
          </cell>
          <cell r="P10">
            <v>10196.886873346793</v>
          </cell>
          <cell r="Q10">
            <v>-829.67680534886438</v>
          </cell>
          <cell r="R10">
            <v>514707.08376151021</v>
          </cell>
          <cell r="S10">
            <v>3.7356182031142521E-2</v>
          </cell>
        </row>
        <row r="11">
          <cell r="A11" t="str">
            <v>Medicare</v>
          </cell>
          <cell r="B11">
            <v>2259275.54</v>
          </cell>
          <cell r="C11">
            <v>125418.57</v>
          </cell>
          <cell r="D11">
            <v>41206.46</v>
          </cell>
          <cell r="E11">
            <v>48494.44</v>
          </cell>
          <cell r="F11">
            <v>15475.23</v>
          </cell>
          <cell r="G11">
            <v>2489870.2399999998</v>
          </cell>
          <cell r="H11">
            <v>5.4390815384481948E-2</v>
          </cell>
          <cell r="I11">
            <v>0.218</v>
          </cell>
          <cell r="J11">
            <v>542791.71231999993</v>
          </cell>
          <cell r="K11">
            <v>634106.2213199999</v>
          </cell>
          <cell r="L11" t="str">
            <v>Medicare</v>
          </cell>
          <cell r="M11">
            <v>602182.95714839641</v>
          </cell>
          <cell r="N11">
            <v>39234.345449745859</v>
          </cell>
          <cell r="O11">
            <v>12792.849674502717</v>
          </cell>
          <cell r="P11">
            <v>13710.009461093025</v>
          </cell>
          <cell r="Q11">
            <v>4978.0819663469929</v>
          </cell>
          <cell r="R11">
            <v>672898.24370008509</v>
          </cell>
          <cell r="S11">
            <v>4.8837309749837597E-2</v>
          </cell>
        </row>
        <row r="12">
          <cell r="A12" t="str">
            <v>Medicare Advantage</v>
          </cell>
          <cell r="B12">
            <v>2857841.58</v>
          </cell>
          <cell r="C12">
            <v>315619.73</v>
          </cell>
          <cell r="D12">
            <v>182335.9</v>
          </cell>
          <cell r="E12">
            <v>109148.12</v>
          </cell>
          <cell r="F12">
            <v>297404.46000000002</v>
          </cell>
          <cell r="G12">
            <v>3762349.79</v>
          </cell>
          <cell r="H12">
            <v>8.2187926724942281E-2</v>
          </cell>
          <cell r="I12">
            <v>0.218</v>
          </cell>
          <cell r="J12">
            <v>820192.25422</v>
          </cell>
          <cell r="K12">
            <v>825436.88971999998</v>
          </cell>
          <cell r="L12" t="str">
            <v>Medicare Advantage</v>
          </cell>
          <cell r="M12">
            <v>664614.45559622417</v>
          </cell>
          <cell r="N12">
            <v>73979.531514222937</v>
          </cell>
          <cell r="O12">
            <v>42555.989521979915</v>
          </cell>
          <cell r="P12">
            <v>25302.857352542134</v>
          </cell>
          <cell r="Q12">
            <v>69480.905036887882</v>
          </cell>
          <cell r="R12">
            <v>875933.73902185715</v>
          </cell>
          <cell r="S12">
            <v>6.3573129716787274E-2</v>
          </cell>
        </row>
        <row r="13">
          <cell r="A13" t="str">
            <v>Patient</v>
          </cell>
          <cell r="B13">
            <v>14126458.83</v>
          </cell>
          <cell r="C13">
            <v>4508720.4000000004</v>
          </cell>
          <cell r="D13">
            <v>2445553.77</v>
          </cell>
          <cell r="E13">
            <v>1573914.61</v>
          </cell>
          <cell r="F13">
            <v>38794.710000000006</v>
          </cell>
          <cell r="G13">
            <v>22693442.32</v>
          </cell>
          <cell r="H13">
            <v>0.49573460168169642</v>
          </cell>
          <cell r="I13">
            <v>3.2800000000000003E-2</v>
          </cell>
          <cell r="J13">
            <v>744344.90809600009</v>
          </cell>
          <cell r="K13">
            <v>821292.33910600003</v>
          </cell>
          <cell r="L13" t="str">
            <v>Patient</v>
          </cell>
          <cell r="M13">
            <v>535342.00465313299</v>
          </cell>
          <cell r="N13">
            <v>173421.29578048782</v>
          </cell>
          <cell r="O13">
            <v>95438.735313539524</v>
          </cell>
          <cell r="P13">
            <v>62786.046204749669</v>
          </cell>
          <cell r="Q13">
            <v>4547.5598185416684</v>
          </cell>
          <cell r="R13">
            <v>871535.64177045156</v>
          </cell>
          <cell r="S13">
            <v>6.3253926568632629E-2</v>
          </cell>
        </row>
        <row r="14">
          <cell r="L14" t="str">
            <v>Municipality (FL &amp; IN)</v>
          </cell>
          <cell r="M14">
            <v>743082.78</v>
          </cell>
          <cell r="N14">
            <v>3238882.65</v>
          </cell>
          <cell r="R14">
            <v>3981965.4299999997</v>
          </cell>
          <cell r="S14">
            <v>0.28900131771592358</v>
          </cell>
        </row>
        <row r="15">
          <cell r="A15" t="str">
            <v>Grand Total</v>
          </cell>
          <cell r="B15">
            <v>32262825.789999999</v>
          </cell>
          <cell r="C15">
            <v>7559617.04</v>
          </cell>
          <cell r="D15">
            <v>3465457.14</v>
          </cell>
          <cell r="E15">
            <v>2142197.9700000002</v>
          </cell>
          <cell r="F15">
            <v>347304.41000000003</v>
          </cell>
          <cell r="G15">
            <v>45777402.349999994</v>
          </cell>
          <cell r="H15">
            <v>1.0000000000000002</v>
          </cell>
          <cell r="I15" t="str">
            <v>calculated</v>
          </cell>
          <cell r="J15">
            <v>8487855.2792960014</v>
          </cell>
          <cell r="K15">
            <v>9231644.6195759997</v>
          </cell>
          <cell r="L15" t="str">
            <v>Grand Total</v>
          </cell>
          <cell r="M15">
            <v>7974900.87960687</v>
          </cell>
          <cell r="N15">
            <v>4634808.7752980459</v>
          </cell>
          <cell r="O15">
            <v>734885.26180187275</v>
          </cell>
          <cell r="P15">
            <v>352392.07012734923</v>
          </cell>
          <cell r="Q15">
            <v>81377.283165863933</v>
          </cell>
          <cell r="R15">
            <v>13778364.270000001</v>
          </cell>
          <cell r="S15">
            <v>1</v>
          </cell>
        </row>
        <row r="16">
          <cell r="A16" t="str">
            <v>% of A/R</v>
          </cell>
          <cell r="B16">
            <v>0.70477624622140678</v>
          </cell>
          <cell r="C16">
            <v>0.16513861975394506</v>
          </cell>
          <cell r="D16">
            <v>7.5702354482768075E-2</v>
          </cell>
          <cell r="E16">
            <v>4.6795970501371194E-2</v>
          </cell>
          <cell r="F16">
            <v>7.5868090405090466E-3</v>
          </cell>
          <cell r="I16" t="str">
            <v>Balance Sheet</v>
          </cell>
          <cell r="K16">
            <v>9796398.8399999999</v>
          </cell>
          <cell r="L16" t="str">
            <v>% of A/R</v>
          </cell>
          <cell r="M16">
            <v>0.57879881264068722</v>
          </cell>
          <cell r="N16">
            <v>0.33638309196030897</v>
          </cell>
          <cell r="O16">
            <v>5.333617600762363E-2</v>
          </cell>
          <cell r="P16">
            <v>2.5575755091235455E-2</v>
          </cell>
          <cell r="Q16">
            <v>5.9061643001447461E-3</v>
          </cell>
        </row>
        <row r="19">
          <cell r="A19" t="str">
            <v>Sioux Falls</v>
          </cell>
        </row>
        <row r="20">
          <cell r="A20" t="str">
            <v>Aging Metrics (Billing Period)</v>
          </cell>
          <cell r="B20" t="str">
            <v>0-30 Days</v>
          </cell>
          <cell r="C20" t="str">
            <v>31-60 Days</v>
          </cell>
          <cell r="D20" t="str">
            <v>61-90 Days</v>
          </cell>
          <cell r="E20" t="str">
            <v>91-120 Days</v>
          </cell>
          <cell r="F20" t="str">
            <v>121+</v>
          </cell>
          <cell r="G20" t="str">
            <v>Grand Total</v>
          </cell>
          <cell r="H20" t="str">
            <v>% of A/R</v>
          </cell>
          <cell r="I20" t="str">
            <v>collection rate</v>
          </cell>
          <cell r="J20" t="str">
            <v>AR</v>
          </cell>
          <cell r="K20">
            <v>1</v>
          </cell>
          <cell r="L20" t="str">
            <v>Left two boxes are from billing company and reflects GROSS CHARGES, meaning contractuals, write-offs, denials have not been factored in.</v>
          </cell>
        </row>
        <row r="21">
          <cell r="A21" t="str">
            <v>&lt;none&gt;</v>
          </cell>
          <cell r="B21">
            <v>0</v>
          </cell>
          <cell r="C21">
            <v>0</v>
          </cell>
          <cell r="D21">
            <v>0</v>
          </cell>
          <cell r="E21">
            <v>0</v>
          </cell>
          <cell r="F21">
            <v>0</v>
          </cell>
          <cell r="G21">
            <v>0</v>
          </cell>
          <cell r="H21">
            <v>0</v>
          </cell>
          <cell r="K21">
            <v>2</v>
          </cell>
          <cell r="L21" t="str">
            <v xml:space="preserve">Accounting records are based on NET REVENUES, meaning we apply our historical collection rates to the gross charges to estimate our </v>
          </cell>
        </row>
        <row r="22">
          <cell r="A22" t="str">
            <v>Facility</v>
          </cell>
          <cell r="B22">
            <v>166045.29999999999</v>
          </cell>
          <cell r="C22">
            <v>83902.46</v>
          </cell>
          <cell r="D22">
            <v>10586.18</v>
          </cell>
          <cell r="E22">
            <v>12010.1</v>
          </cell>
          <cell r="F22">
            <v>-1687.4499999999998</v>
          </cell>
          <cell r="G22">
            <v>270856.58999999997</v>
          </cell>
          <cell r="H22">
            <v>8.8750152073298103E-2</v>
          </cell>
          <cell r="I22">
            <v>0.9</v>
          </cell>
          <cell r="J22">
            <v>243770.93099999998</v>
          </cell>
          <cell r="L22" t="str">
            <v>ultimate cash collections. There isn't a true "net revenue" aging.</v>
          </cell>
        </row>
        <row r="23">
          <cell r="A23" t="str">
            <v>Insurance</v>
          </cell>
          <cell r="B23">
            <v>324326.65999999997</v>
          </cell>
          <cell r="C23">
            <v>58518.6</v>
          </cell>
          <cell r="D23">
            <v>30439.45</v>
          </cell>
          <cell r="E23">
            <v>8242.36</v>
          </cell>
          <cell r="F23">
            <v>5327.15</v>
          </cell>
          <cell r="G23">
            <v>426854.22</v>
          </cell>
          <cell r="H23">
            <v>0.1398650737577736</v>
          </cell>
          <cell r="I23">
            <v>0.69099999999999995</v>
          </cell>
          <cell r="J23">
            <v>294956.26601999998</v>
          </cell>
          <cell r="K23">
            <v>3</v>
          </cell>
          <cell r="L23" t="str">
            <v>The proposed approach reflected here is taking the GROSS CHARGES AR and multiply by our average collection rate in FY17.</v>
          </cell>
        </row>
        <row r="24">
          <cell r="A24" t="str">
            <v>Medicaid</v>
          </cell>
          <cell r="B24">
            <v>138166.85999999999</v>
          </cell>
          <cell r="C24">
            <v>21358.12</v>
          </cell>
          <cell r="D24">
            <v>9821.83</v>
          </cell>
          <cell r="E24">
            <v>7617.68</v>
          </cell>
          <cell r="F24">
            <v>583.58000000000004</v>
          </cell>
          <cell r="G24">
            <v>177548.06999999995</v>
          </cell>
          <cell r="H24">
            <v>5.8176240839554888E-2</v>
          </cell>
          <cell r="I24">
            <v>0.17499999999999999</v>
          </cell>
          <cell r="J24">
            <v>31070.91224999999</v>
          </cell>
          <cell r="L24" t="str">
            <v>Combined Alameda and Sioux Falls results is in the AR calculated in blue box. Below the box is the AR reported on the YE Balance Sheet.</v>
          </cell>
        </row>
        <row r="25">
          <cell r="A25" t="str">
            <v>Medicaid MCO</v>
          </cell>
          <cell r="B25">
            <v>1305.8800000000001</v>
          </cell>
          <cell r="C25">
            <v>1463.58</v>
          </cell>
          <cell r="D25">
            <v>0</v>
          </cell>
          <cell r="E25">
            <v>0</v>
          </cell>
          <cell r="F25">
            <v>0</v>
          </cell>
          <cell r="G25">
            <v>2769.46</v>
          </cell>
          <cell r="H25">
            <v>9.0745436971246E-4</v>
          </cell>
          <cell r="I25">
            <v>0.17499999999999999</v>
          </cell>
          <cell r="J25">
            <v>484.65549999999996</v>
          </cell>
          <cell r="K25">
            <v>4</v>
          </cell>
          <cell r="L25" t="str">
            <v>Net looks very different than gross because of the differences of collectability by payor group; we book what we historically collected.</v>
          </cell>
        </row>
        <row r="26">
          <cell r="A26" t="str">
            <v>Medicare</v>
          </cell>
          <cell r="B26">
            <v>220373.37</v>
          </cell>
          <cell r="C26">
            <v>36139.31</v>
          </cell>
          <cell r="D26">
            <v>11471.51</v>
          </cell>
          <cell r="E26">
            <v>7960.18</v>
          </cell>
          <cell r="F26">
            <v>5023.3500000000004</v>
          </cell>
          <cell r="G26">
            <v>280967.71999999997</v>
          </cell>
          <cell r="H26">
            <v>9.2063212778717471E-2</v>
          </cell>
          <cell r="I26">
            <v>0.32500000000000001</v>
          </cell>
          <cell r="J26">
            <v>91314.508999999991</v>
          </cell>
          <cell r="K26">
            <v>5</v>
          </cell>
          <cell r="L26" t="str">
            <v>I do not know for certain that only CA and SD are in the AR</v>
          </cell>
          <cell r="P26" t="str">
            <v>[need to check with Tony]</v>
          </cell>
        </row>
        <row r="27">
          <cell r="A27" t="str">
            <v>Medicare Advantage</v>
          </cell>
          <cell r="B27">
            <v>9084.3700000000008</v>
          </cell>
          <cell r="C27">
            <v>3503.39</v>
          </cell>
          <cell r="D27">
            <v>1236.5</v>
          </cell>
          <cell r="E27">
            <v>0</v>
          </cell>
          <cell r="F27">
            <v>2313.08</v>
          </cell>
          <cell r="G27">
            <v>16137.34</v>
          </cell>
          <cell r="H27">
            <v>5.2876371922814082E-3</v>
          </cell>
          <cell r="I27">
            <v>0.32500000000000001</v>
          </cell>
          <cell r="J27">
            <v>5244.6355000000003</v>
          </cell>
          <cell r="K27">
            <v>6</v>
          </cell>
          <cell r="L27" t="str">
            <v>Applying the aging on the left as a proxy for the aging on the net AR</v>
          </cell>
        </row>
        <row r="28">
          <cell r="A28" t="str">
            <v>Patient</v>
          </cell>
          <cell r="B28">
            <v>965826.87</v>
          </cell>
          <cell r="C28">
            <v>380348.12</v>
          </cell>
          <cell r="D28">
            <v>245041.49</v>
          </cell>
          <cell r="E28">
            <v>196140.68</v>
          </cell>
          <cell r="F28">
            <v>89409.45</v>
          </cell>
          <cell r="G28">
            <v>1876766.6099999999</v>
          </cell>
          <cell r="H28">
            <v>0.61495022898866203</v>
          </cell>
          <cell r="I28">
            <v>4.1000000000000002E-2</v>
          </cell>
          <cell r="J28">
            <v>76947.43101</v>
          </cell>
          <cell r="K28">
            <v>7</v>
          </cell>
          <cell r="L28" t="str">
            <v>If this approach is reasonable, then the box on the right reflects the estimate aging at fiscal year end.</v>
          </cell>
        </row>
        <row r="29">
          <cell r="A29" t="str">
            <v>Grand Total</v>
          </cell>
          <cell r="B29">
            <v>1825129.31</v>
          </cell>
          <cell r="C29">
            <v>585233.57999999996</v>
          </cell>
          <cell r="D29">
            <v>308596.96000000002</v>
          </cell>
          <cell r="E29">
            <v>231971</v>
          </cell>
          <cell r="F29">
            <v>100969.16</v>
          </cell>
          <cell r="G29">
            <v>3051900.01</v>
          </cell>
          <cell r="H29">
            <v>1</v>
          </cell>
          <cell r="J29">
            <v>743789.34027999989</v>
          </cell>
        </row>
        <row r="30">
          <cell r="A30" t="str">
            <v>% of A/R</v>
          </cell>
          <cell r="B30">
            <v>0.598030506903796</v>
          </cell>
          <cell r="C30">
            <v>0.19176040436527933</v>
          </cell>
          <cell r="D30">
            <v>0.10111634030893432</v>
          </cell>
          <cell r="E30">
            <v>7.6008715632855883E-2</v>
          </cell>
          <cell r="F30">
            <v>3.3084032789134535E-2</v>
          </cell>
        </row>
        <row r="33">
          <cell r="A33" t="str">
            <v>Combined</v>
          </cell>
        </row>
        <row r="34">
          <cell r="A34" t="str">
            <v>Aging Metrics (Billing Period)</v>
          </cell>
          <cell r="B34" t="str">
            <v>0-30 Days</v>
          </cell>
          <cell r="C34" t="str">
            <v>31-60 Days</v>
          </cell>
          <cell r="D34" t="str">
            <v>61-90 Days</v>
          </cell>
          <cell r="E34" t="str">
            <v>91-120 Days</v>
          </cell>
          <cell r="F34" t="str">
            <v>121+</v>
          </cell>
          <cell r="G34" t="str">
            <v>Grand Total</v>
          </cell>
          <cell r="H34" t="str">
            <v>% of A/R</v>
          </cell>
        </row>
        <row r="35">
          <cell r="A35" t="str">
            <v>&lt;none&gt;</v>
          </cell>
          <cell r="B35">
            <v>0</v>
          </cell>
          <cell r="C35">
            <v>0</v>
          </cell>
          <cell r="D35">
            <v>0</v>
          </cell>
          <cell r="E35">
            <v>0</v>
          </cell>
          <cell r="F35">
            <v>0</v>
          </cell>
          <cell r="G35">
            <v>0</v>
          </cell>
          <cell r="H35">
            <v>0</v>
          </cell>
        </row>
        <row r="36">
          <cell r="A36" t="str">
            <v>Facility</v>
          </cell>
          <cell r="B36">
            <v>679199.04</v>
          </cell>
          <cell r="C36">
            <v>395218.34</v>
          </cell>
          <cell r="D36">
            <v>233818.34</v>
          </cell>
          <cell r="E36">
            <v>19161.169999999998</v>
          </cell>
          <cell r="F36">
            <v>-1687.4499999999998</v>
          </cell>
          <cell r="G36">
            <v>1325709.4400000002</v>
          </cell>
          <cell r="H36">
            <v>2.7149874684386135E-2</v>
          </cell>
        </row>
        <row r="37">
          <cell r="A37" t="str">
            <v>Insurance</v>
          </cell>
          <cell r="B37">
            <v>4707314.8900000006</v>
          </cell>
          <cell r="C37">
            <v>686977.77</v>
          </cell>
          <cell r="D37">
            <v>388768.03</v>
          </cell>
          <cell r="E37">
            <v>248272.34999999998</v>
          </cell>
          <cell r="F37">
            <v>4698.159999999998</v>
          </cell>
          <cell r="G37">
            <v>6036031.2000000002</v>
          </cell>
          <cell r="H37">
            <v>0.1236149383314679</v>
          </cell>
        </row>
        <row r="38">
          <cell r="A38" t="str">
            <v>Medicaid</v>
          </cell>
          <cell r="B38">
            <v>2861860.1799999997</v>
          </cell>
          <cell r="C38">
            <v>246137.66999999998</v>
          </cell>
          <cell r="D38">
            <v>73337.61</v>
          </cell>
          <cell r="E38">
            <v>29854.27</v>
          </cell>
          <cell r="F38">
            <v>8333.2999999999993</v>
          </cell>
          <cell r="G38">
            <v>3219523.0299999993</v>
          </cell>
          <cell r="H38">
            <v>6.5934241826018161E-2</v>
          </cell>
        </row>
        <row r="39">
          <cell r="A39" t="str">
            <v>Medicaid MCO</v>
          </cell>
          <cell r="B39">
            <v>5400720.4299999997</v>
          </cell>
          <cell r="C39">
            <v>1446767.32</v>
          </cell>
          <cell r="D39">
            <v>151284.49</v>
          </cell>
          <cell r="E39">
            <v>141223.15</v>
          </cell>
          <cell r="F39">
            <v>-11490.720000000001</v>
          </cell>
          <cell r="G39">
            <v>7128504.6700000009</v>
          </cell>
          <cell r="H39">
            <v>0.14598825552419792</v>
          </cell>
        </row>
        <row r="40">
          <cell r="A40" t="str">
            <v>Medicare</v>
          </cell>
          <cell r="B40">
            <v>2479648.91</v>
          </cell>
          <cell r="C40">
            <v>161557.88</v>
          </cell>
          <cell r="D40">
            <v>52677.97</v>
          </cell>
          <cell r="E40">
            <v>56454.62</v>
          </cell>
          <cell r="F40">
            <v>20498.580000000002</v>
          </cell>
          <cell r="G40">
            <v>2770837.9600000004</v>
          </cell>
          <cell r="H40">
            <v>5.6745393156995338E-2</v>
          </cell>
        </row>
        <row r="41">
          <cell r="A41" t="str">
            <v>Medicare Advantage</v>
          </cell>
          <cell r="B41">
            <v>2866925.95</v>
          </cell>
          <cell r="C41">
            <v>319123.12</v>
          </cell>
          <cell r="D41">
            <v>183572.4</v>
          </cell>
          <cell r="E41">
            <v>109148.12</v>
          </cell>
          <cell r="F41">
            <v>299717.54000000004</v>
          </cell>
          <cell r="G41">
            <v>3778487.1300000004</v>
          </cell>
          <cell r="H41">
            <v>7.738155057270002E-2</v>
          </cell>
        </row>
        <row r="42">
          <cell r="A42" t="str">
            <v>Patient</v>
          </cell>
          <cell r="B42">
            <v>15092285.699999999</v>
          </cell>
          <cell r="C42">
            <v>4889068.5200000005</v>
          </cell>
          <cell r="D42">
            <v>2690595.26</v>
          </cell>
          <cell r="E42">
            <v>1770055.29</v>
          </cell>
          <cell r="F42">
            <v>128204.16</v>
          </cell>
          <cell r="G42">
            <v>24570208.929999996</v>
          </cell>
          <cell r="H42">
            <v>0.50318574590423448</v>
          </cell>
        </row>
        <row r="43">
          <cell r="A43" t="str">
            <v>Grand Total</v>
          </cell>
          <cell r="B43">
            <v>34087955.099999994</v>
          </cell>
          <cell r="C43">
            <v>8144850.620000001</v>
          </cell>
          <cell r="D43">
            <v>3774054.0999999996</v>
          </cell>
          <cell r="E43">
            <v>2374168.9699999997</v>
          </cell>
          <cell r="F43">
            <v>448273.57000000007</v>
          </cell>
          <cell r="G43">
            <v>48829302.359999999</v>
          </cell>
          <cell r="H43">
            <v>1</v>
          </cell>
        </row>
        <row r="44">
          <cell r="A44" t="str">
            <v>% of A/R</v>
          </cell>
          <cell r="B44">
            <v>0.69810448752026766</v>
          </cell>
          <cell r="C44">
            <v>0.16680251869975726</v>
          </cell>
          <cell r="D44">
            <v>7.7290764307368642E-2</v>
          </cell>
          <cell r="E44">
            <v>4.8621808120381256E-2</v>
          </cell>
          <cell r="F44">
            <v>9.180421352225113E-3</v>
          </cell>
        </row>
      </sheetData>
      <sheetData sheetId="34">
        <row r="2">
          <cell r="L2">
            <v>2017</v>
          </cell>
          <cell r="AD2">
            <v>2018</v>
          </cell>
        </row>
        <row r="4">
          <cell r="C4" t="str">
            <v>COMPONENTS OF EBITDA ($000s):</v>
          </cell>
          <cell r="J4" t="str">
            <v xml:space="preserve">CIM Adjusted EBITDA </v>
          </cell>
          <cell r="L4" t="str">
            <v>Adjusted EBITDA</v>
          </cell>
          <cell r="N4" t="str">
            <v xml:space="preserve">AMCP Lose CA </v>
          </cell>
          <cell r="P4" t="str">
            <v xml:space="preserve">Valuation EBITDA </v>
          </cell>
          <cell r="R4" t="str">
            <v>AMCP Run-Rate Δ's</v>
          </cell>
          <cell r="T4" t="str">
            <v>AMCP 
Run-Rate</v>
          </cell>
          <cell r="V4" t="str">
            <v>ADJUSTMENTS FOR ARDENT</v>
          </cell>
          <cell r="X4" t="str">
            <v xml:space="preserve">AMCP PF EBITDA </v>
          </cell>
          <cell r="Z4" t="str">
            <v xml:space="preserve">AMCP PF Adjustments  </v>
          </cell>
          <cell r="AB4" t="str">
            <v xml:space="preserve">AMCP Pro Forma </v>
          </cell>
          <cell r="AD4" t="str">
            <v>Management Updated 2018</v>
          </cell>
          <cell r="AF4" t="str">
            <v>AMCP Run-Rate Δ's</v>
          </cell>
          <cell r="AH4" t="str">
            <v>Lose CA, only</v>
          </cell>
          <cell r="AJ4" t="str">
            <v>AMCP Run-Rate Δ's</v>
          </cell>
          <cell r="AL4" t="str">
            <v>AMCP 
Run-Rate</v>
          </cell>
          <cell r="AN4" t="str">
            <v>AMCP Run-Rate Δ's</v>
          </cell>
          <cell r="AP4" t="str">
            <v xml:space="preserve">AMCP Pro Forma </v>
          </cell>
          <cell r="AR4" t="str">
            <v>AMCP Run-Rate Δ's</v>
          </cell>
          <cell r="AT4" t="str">
            <v xml:space="preserve">AMCP Extra PF   </v>
          </cell>
        </row>
        <row r="5">
          <cell r="C5" t="str">
            <v xml:space="preserve">Description: </v>
          </cell>
          <cell r="J5" t="str">
            <v>2017 EBITDA from CIM</v>
          </cell>
          <cell r="L5" t="str">
            <v xml:space="preserve">Houlihan Lokey QofE </v>
          </cell>
          <cell r="P5" t="str">
            <v xml:space="preserve">Assumes loss of CA </v>
          </cell>
          <cell r="T5" t="str">
            <v xml:space="preserve">Assumes loss of Waco and CA </v>
          </cell>
          <cell r="X5" t="str">
            <v xml:space="preserve">Assumes loss of CA and ETX </v>
          </cell>
          <cell r="AB5" t="str">
            <v>Assumes loss of Waco and CA; $2mm addt'l overhead</v>
          </cell>
          <cell r="AD5" t="str">
            <v>Mgmt's latest 2018 projections</v>
          </cell>
          <cell r="AH5" t="str">
            <v xml:space="preserve">Assumes loss of CA </v>
          </cell>
          <cell r="AL5" t="str">
            <v xml:space="preserve">Assumes loss of Waco and CA </v>
          </cell>
          <cell r="AP5" t="str">
            <v>Assumes loss of Waco and CA; $2mm addt'l overhead</v>
          </cell>
          <cell r="AT5" t="str">
            <v>Assumes loss of all TX and CA; $2mm addt'l overhead</v>
          </cell>
        </row>
        <row r="6">
          <cell r="C6" t="str">
            <v>Waco</v>
          </cell>
          <cell r="L6">
            <v>1104.1976508536814</v>
          </cell>
          <cell r="P6">
            <v>1104.1976508536814</v>
          </cell>
          <cell r="R6">
            <v>-1104.1976508536814</v>
          </cell>
          <cell r="T6">
            <v>0</v>
          </cell>
          <cell r="X6">
            <v>1104.1976508536814</v>
          </cell>
          <cell r="Z6">
            <v>-1104.1976508536814</v>
          </cell>
          <cell r="AB6">
            <v>0</v>
          </cell>
          <cell r="AD6">
            <v>1195.4169999999999</v>
          </cell>
          <cell r="AH6">
            <v>1195.4169999999999</v>
          </cell>
          <cell r="AJ6">
            <v>-1195.4169999999999</v>
          </cell>
          <cell r="AL6">
            <v>0</v>
          </cell>
          <cell r="AN6">
            <v>-1195.4169999999999</v>
          </cell>
          <cell r="AP6">
            <v>0</v>
          </cell>
          <cell r="AR6">
            <v>-1195.4169999999999</v>
          </cell>
          <cell r="AT6">
            <v>0</v>
          </cell>
        </row>
        <row r="7">
          <cell r="C7" t="str">
            <v>Wylie</v>
          </cell>
          <cell r="L7">
            <v>561.62546197803749</v>
          </cell>
          <cell r="P7">
            <v>561.62546197803749</v>
          </cell>
          <cell r="T7">
            <v>561.62546197803749</v>
          </cell>
          <cell r="X7">
            <v>561.62546197803749</v>
          </cell>
          <cell r="AB7">
            <v>561.62546197803749</v>
          </cell>
          <cell r="AH7">
            <v>0</v>
          </cell>
          <cell r="AL7">
            <v>0</v>
          </cell>
          <cell r="AP7">
            <v>0</v>
          </cell>
          <cell r="AT7">
            <v>0</v>
          </cell>
        </row>
        <row r="8">
          <cell r="C8" t="str">
            <v>ETX Mgmt.</v>
          </cell>
          <cell r="L8">
            <v>1725.6185311850581</v>
          </cell>
          <cell r="P8">
            <v>1725.6185311850581</v>
          </cell>
          <cell r="T8">
            <v>1725.6185311850581</v>
          </cell>
          <cell r="V8">
            <v>-1725.6185311850581</v>
          </cell>
          <cell r="X8">
            <v>0</v>
          </cell>
          <cell r="AB8">
            <v>1725.6185311850581</v>
          </cell>
          <cell r="AH8">
            <v>0</v>
          </cell>
          <cell r="AL8">
            <v>0</v>
          </cell>
          <cell r="AP8">
            <v>0</v>
          </cell>
          <cell r="AR8">
            <v>-1725.61853118506</v>
          </cell>
          <cell r="AT8">
            <v>0</v>
          </cell>
        </row>
        <row r="9">
          <cell r="C9" t="str">
            <v>PP+ Corp</v>
          </cell>
          <cell r="L9">
            <v>71.572699999999955</v>
          </cell>
          <cell r="P9">
            <v>71.572699999999955</v>
          </cell>
          <cell r="T9">
            <v>71.572699999999955</v>
          </cell>
          <cell r="X9">
            <v>71.572699999999955</v>
          </cell>
          <cell r="AB9">
            <v>71.572699999999955</v>
          </cell>
          <cell r="AH9">
            <v>0</v>
          </cell>
          <cell r="AL9">
            <v>0</v>
          </cell>
          <cell r="AP9">
            <v>0</v>
          </cell>
          <cell r="AT9">
            <v>0</v>
          </cell>
        </row>
        <row r="11">
          <cell r="C11" t="str">
            <v xml:space="preserve">ETMC EMS </v>
          </cell>
          <cell r="J11">
            <v>1187</v>
          </cell>
          <cell r="L11">
            <v>3463.0143440167772</v>
          </cell>
          <cell r="P11">
            <v>3463.0143440167772</v>
          </cell>
          <cell r="T11">
            <v>2358.8166931630958</v>
          </cell>
          <cell r="X11">
            <v>1737.3958128317188</v>
          </cell>
          <cell r="AB11">
            <v>2358.8166931630958</v>
          </cell>
          <cell r="AD11">
            <v>2921</v>
          </cell>
          <cell r="AH11">
            <v>2921</v>
          </cell>
          <cell r="AJ11">
            <v>-1195.4169999999999</v>
          </cell>
          <cell r="AL11">
            <v>1725.5830000000001</v>
          </cell>
          <cell r="AN11">
            <v>-1195.4169999999999</v>
          </cell>
          <cell r="AP11">
            <v>1725.5830000000001</v>
          </cell>
          <cell r="AR11">
            <v>-2921.0355311850599</v>
          </cell>
          <cell r="AT11">
            <v>-3.5531185059880954E-2</v>
          </cell>
        </row>
        <row r="12">
          <cell r="C12" t="str">
            <v>Florida</v>
          </cell>
          <cell r="J12">
            <v>8885</v>
          </cell>
          <cell r="L12">
            <v>8854.2355591428277</v>
          </cell>
          <cell r="P12">
            <v>8854.2355591428277</v>
          </cell>
          <cell r="T12">
            <v>8854.2355591428277</v>
          </cell>
          <cell r="X12">
            <v>8854.2355591428277</v>
          </cell>
          <cell r="AB12">
            <v>8854.2355591428277</v>
          </cell>
          <cell r="AD12">
            <v>9364</v>
          </cell>
          <cell r="AH12">
            <v>9364</v>
          </cell>
          <cell r="AL12">
            <v>9364</v>
          </cell>
          <cell r="AP12">
            <v>9364</v>
          </cell>
          <cell r="AT12">
            <v>9364</v>
          </cell>
        </row>
        <row r="13">
          <cell r="C13" t="str">
            <v>Indiana</v>
          </cell>
          <cell r="J13">
            <v>1406</v>
          </cell>
          <cell r="L13">
            <v>1322.8294001998202</v>
          </cell>
          <cell r="P13">
            <v>1322.8294001998202</v>
          </cell>
          <cell r="T13">
            <v>1322.8294001998202</v>
          </cell>
          <cell r="X13">
            <v>1322.8294001998202</v>
          </cell>
          <cell r="AB13">
            <v>1322.8294001998202</v>
          </cell>
          <cell r="AD13">
            <v>1296</v>
          </cell>
          <cell r="AH13">
            <v>1296</v>
          </cell>
          <cell r="AL13">
            <v>1296</v>
          </cell>
          <cell r="AP13">
            <v>1296</v>
          </cell>
          <cell r="AT13">
            <v>1296</v>
          </cell>
        </row>
        <row r="14">
          <cell r="C14" t="str">
            <v>South Dakota</v>
          </cell>
          <cell r="J14">
            <v>1041</v>
          </cell>
          <cell r="L14">
            <v>1295.5708029965044</v>
          </cell>
          <cell r="P14">
            <v>1295.5708029965044</v>
          </cell>
          <cell r="T14">
            <v>1295.5708029965044</v>
          </cell>
          <cell r="X14">
            <v>1295.5708029965044</v>
          </cell>
          <cell r="AB14">
            <v>1295.5708029965044</v>
          </cell>
          <cell r="AD14">
            <v>1049</v>
          </cell>
          <cell r="AH14">
            <v>1049</v>
          </cell>
          <cell r="AL14">
            <v>1049</v>
          </cell>
          <cell r="AP14">
            <v>1049</v>
          </cell>
          <cell r="AT14">
            <v>1049</v>
          </cell>
        </row>
        <row r="15">
          <cell r="C15" t="str">
            <v>California</v>
          </cell>
          <cell r="J15">
            <v>-858</v>
          </cell>
          <cell r="L15">
            <v>3748.2497963951232</v>
          </cell>
          <cell r="N15">
            <v>-3748.2497963951232</v>
          </cell>
          <cell r="P15">
            <v>0</v>
          </cell>
          <cell r="R15">
            <v>-3748.2497963951232</v>
          </cell>
          <cell r="T15">
            <v>0</v>
          </cell>
          <cell r="V15">
            <v>-3748.2497963951232</v>
          </cell>
          <cell r="X15">
            <v>0</v>
          </cell>
          <cell r="Z15">
            <v>-3748.2497963951232</v>
          </cell>
          <cell r="AB15">
            <v>0</v>
          </cell>
          <cell r="AD15">
            <v>3923</v>
          </cell>
          <cell r="AF15">
            <v>-3923</v>
          </cell>
          <cell r="AH15">
            <v>0</v>
          </cell>
          <cell r="AJ15">
            <v>-3923</v>
          </cell>
          <cell r="AL15">
            <v>0</v>
          </cell>
          <cell r="AN15">
            <v>-3923</v>
          </cell>
          <cell r="AP15">
            <v>0</v>
          </cell>
          <cell r="AR15">
            <v>-3923</v>
          </cell>
          <cell r="AT15">
            <v>0</v>
          </cell>
        </row>
        <row r="16">
          <cell r="C16" t="str">
            <v>Fleet Plus</v>
          </cell>
          <cell r="J16">
            <v>162</v>
          </cell>
          <cell r="L16">
            <v>-389.99019999999962</v>
          </cell>
          <cell r="P16">
            <v>-389.99019999999962</v>
          </cell>
          <cell r="T16">
            <v>-389.99019999999962</v>
          </cell>
          <cell r="X16">
            <v>-389.99019999999962</v>
          </cell>
          <cell r="AB16">
            <v>-389.99019999999962</v>
          </cell>
          <cell r="AD16">
            <v>-61</v>
          </cell>
          <cell r="AH16">
            <v>-61</v>
          </cell>
          <cell r="AL16">
            <v>-61</v>
          </cell>
          <cell r="AP16">
            <v>-61</v>
          </cell>
          <cell r="AT16">
            <v>-61</v>
          </cell>
        </row>
        <row r="17">
          <cell r="C17" t="str">
            <v>TX Corporate</v>
          </cell>
          <cell r="J17">
            <v>-3951</v>
          </cell>
          <cell r="L17">
            <v>-6126.8884713380558</v>
          </cell>
          <cell r="P17">
            <v>-6126.8884713380558</v>
          </cell>
          <cell r="T17">
            <v>-6126.8884713380558</v>
          </cell>
          <cell r="V17">
            <v>0</v>
          </cell>
          <cell r="X17">
            <v>-6126.8884713380558</v>
          </cell>
          <cell r="Z17">
            <v>-2000</v>
          </cell>
          <cell r="AB17">
            <v>-8126.8884713380558</v>
          </cell>
          <cell r="AD17">
            <v>-5170.3</v>
          </cell>
          <cell r="AH17">
            <v>-5170.3</v>
          </cell>
          <cell r="AL17">
            <v>-5170.3</v>
          </cell>
          <cell r="AN17">
            <v>-2000</v>
          </cell>
          <cell r="AP17">
            <v>-7170.3</v>
          </cell>
          <cell r="AR17">
            <v>-2000</v>
          </cell>
          <cell r="AT17">
            <v>-7170.3</v>
          </cell>
        </row>
        <row r="18">
          <cell r="C18" t="str">
            <v>Total EBITDA:</v>
          </cell>
          <cell r="J18">
            <v>7872</v>
          </cell>
          <cell r="L18">
            <v>12167.021231412999</v>
          </cell>
          <cell r="P18">
            <v>8418.771435017874</v>
          </cell>
          <cell r="T18">
            <v>7314.5737841641912</v>
          </cell>
          <cell r="X18">
            <v>6693.1529038328154</v>
          </cell>
          <cell r="AB18">
            <v>5314.5737841641912</v>
          </cell>
          <cell r="AD18">
            <v>13321.7</v>
          </cell>
          <cell r="AH18">
            <v>9398.7000000000007</v>
          </cell>
          <cell r="AL18">
            <v>8203.2829999999994</v>
          </cell>
          <cell r="AP18">
            <v>6203.2830000000004</v>
          </cell>
          <cell r="AT18">
            <v>4477.6644688149399</v>
          </cell>
        </row>
        <row r="21">
          <cell r="C21" t="str">
            <v>Enterprise Value:</v>
          </cell>
          <cell r="D21" t="str">
            <v>Δ</v>
          </cell>
          <cell r="F21" t="str">
            <v>Cumul. Δ</v>
          </cell>
          <cell r="H21" t="str">
            <v xml:space="preserve">Description </v>
          </cell>
          <cell r="L21" t="str">
            <v xml:space="preserve">Implied Enterprise Value / EBITDA Multiple: </v>
          </cell>
        </row>
        <row r="23">
          <cell r="C23">
            <v>22100</v>
          </cell>
          <cell r="D23">
            <v>0</v>
          </cell>
          <cell r="F23">
            <v>0</v>
          </cell>
          <cell r="H23" t="str">
            <v xml:space="preserve">Excludes Waco </v>
          </cell>
          <cell r="J23">
            <v>2.8074186991869921</v>
          </cell>
          <cell r="L23">
            <v>1.8163854225011038</v>
          </cell>
          <cell r="T23">
            <v>3.0213653798729552</v>
          </cell>
          <cell r="AB23">
            <v>4.1583767386674086</v>
          </cell>
          <cell r="AD23">
            <v>1.6589474316341006</v>
          </cell>
          <cell r="AL23">
            <v>2.6940433482545951</v>
          </cell>
          <cell r="AP23">
            <v>3.5626296591659607</v>
          </cell>
          <cell r="AT23">
            <v>4.9356087652206311</v>
          </cell>
        </row>
        <row r="24">
          <cell r="C24">
            <v>26000</v>
          </cell>
          <cell r="D24">
            <v>3900</v>
          </cell>
          <cell r="F24">
            <v>3900</v>
          </cell>
          <cell r="H24" t="str">
            <v xml:space="preserve">Incl. Waco - Purchase Price in Deck </v>
          </cell>
          <cell r="L24">
            <v>2.136924026471887</v>
          </cell>
          <cell r="P24">
            <v>3.088336605962839</v>
          </cell>
          <cell r="X24">
            <v>3.884566866104489</v>
          </cell>
          <cell r="AD24">
            <v>1.9517028607460007</v>
          </cell>
          <cell r="AH24">
            <v>2.7663400257482418</v>
          </cell>
          <cell r="AP24">
            <v>4.1913290107834831</v>
          </cell>
          <cell r="AT24">
            <v>5.8065985473183899</v>
          </cell>
        </row>
        <row r="25">
          <cell r="C25">
            <v>31000</v>
          </cell>
          <cell r="D25">
            <v>5000</v>
          </cell>
          <cell r="F25">
            <v>8900</v>
          </cell>
          <cell r="H25" t="str">
            <v>Includes ETX Earnout</v>
          </cell>
          <cell r="L25">
            <v>2.5478709546395573</v>
          </cell>
          <cell r="P25">
            <v>3.6822474917249233</v>
          </cell>
          <cell r="AD25">
            <v>2.3270303339663854</v>
          </cell>
          <cell r="AH25">
            <v>3.2983284922382881</v>
          </cell>
          <cell r="AP25">
            <v>4.997353820549538</v>
          </cell>
          <cell r="AT25">
            <v>6.9232521141103875</v>
          </cell>
        </row>
        <row r="27">
          <cell r="C27" t="str">
            <v xml:space="preserve">Assumes ~$5MM NWC release from wind-down of CA contract(2): </v>
          </cell>
        </row>
        <row r="28">
          <cell r="C28">
            <v>17100</v>
          </cell>
          <cell r="H28" t="str">
            <v xml:space="preserve">Excludes Waco </v>
          </cell>
          <cell r="J28">
            <v>2.1722560975609757</v>
          </cell>
          <cell r="L28">
            <v>1.4054384943334333</v>
          </cell>
          <cell r="T28">
            <v>2.3377985518473996</v>
          </cell>
          <cell r="AB28">
            <v>3.2175675217743303</v>
          </cell>
          <cell r="AD28">
            <v>1.2836199584137158</v>
          </cell>
          <cell r="AL28">
            <v>2.0845312785137367</v>
          </cell>
        </row>
        <row r="29">
          <cell r="C29">
            <v>21000</v>
          </cell>
          <cell r="H29" t="str">
            <v>Includes Waco</v>
          </cell>
          <cell r="L29">
            <v>1.7259770983042164</v>
          </cell>
          <cell r="P29">
            <v>2.4944257202007547</v>
          </cell>
          <cell r="X29">
            <v>3.1375347764690105</v>
          </cell>
          <cell r="AD29">
            <v>1.5763753875256161</v>
          </cell>
          <cell r="AH29">
            <v>2.2343515592581951</v>
          </cell>
        </row>
        <row r="30">
          <cell r="C30">
            <v>26000</v>
          </cell>
          <cell r="H30" t="str">
            <v>Includes ETX Earnout</v>
          </cell>
          <cell r="L30">
            <v>2.136924026471887</v>
          </cell>
          <cell r="P30">
            <v>3.088336605962839</v>
          </cell>
          <cell r="AD30">
            <v>1.9517028607460007</v>
          </cell>
          <cell r="AH30">
            <v>2.7663400257482418</v>
          </cell>
        </row>
        <row r="33">
          <cell r="C33" t="str">
            <v>Capital Expenditures (Average):</v>
          </cell>
          <cell r="L33" t="str">
            <v>Average (2015 - 2017):</v>
          </cell>
          <cell r="AD33" t="str">
            <v>Average (2018 - 2022):</v>
          </cell>
        </row>
        <row r="35">
          <cell r="C35">
            <v>2015</v>
          </cell>
          <cell r="I35">
            <v>1.4793474900000001</v>
          </cell>
        </row>
        <row r="36">
          <cell r="C36">
            <v>2016</v>
          </cell>
          <cell r="I36">
            <v>2.77220786</v>
          </cell>
        </row>
        <row r="37">
          <cell r="C37">
            <v>2017</v>
          </cell>
          <cell r="I37">
            <v>2.6948302000000002</v>
          </cell>
        </row>
        <row r="38">
          <cell r="C38">
            <v>2018</v>
          </cell>
          <cell r="I38">
            <v>0</v>
          </cell>
        </row>
        <row r="39">
          <cell r="C39">
            <v>2019</v>
          </cell>
          <cell r="I39">
            <v>0</v>
          </cell>
        </row>
        <row r="40">
          <cell r="C40">
            <v>2020</v>
          </cell>
          <cell r="I40">
            <v>0</v>
          </cell>
        </row>
        <row r="41">
          <cell r="C41">
            <v>2021</v>
          </cell>
          <cell r="I41">
            <v>0</v>
          </cell>
        </row>
        <row r="42">
          <cell r="C42">
            <v>2022</v>
          </cell>
          <cell r="I42">
            <v>0</v>
          </cell>
        </row>
        <row r="43">
          <cell r="C43" t="str">
            <v xml:space="preserve">ETMC EMS </v>
          </cell>
          <cell r="I43"/>
          <cell r="J43">
            <v>1000</v>
          </cell>
          <cell r="L43">
            <v>500</v>
          </cell>
          <cell r="N43">
            <v>0</v>
          </cell>
          <cell r="P43">
            <v>500</v>
          </cell>
          <cell r="R43">
            <v>-500</v>
          </cell>
          <cell r="T43">
            <v>0</v>
          </cell>
          <cell r="V43">
            <v>-500</v>
          </cell>
          <cell r="X43">
            <v>0</v>
          </cell>
          <cell r="Z43">
            <v>-500</v>
          </cell>
          <cell r="AB43">
            <v>0</v>
          </cell>
          <cell r="AD43">
            <v>500</v>
          </cell>
          <cell r="AF43">
            <v>-500</v>
          </cell>
          <cell r="AH43">
            <v>0</v>
          </cell>
          <cell r="AJ43">
            <v>-500</v>
          </cell>
          <cell r="AL43">
            <v>0</v>
          </cell>
          <cell r="AN43">
            <v>-500</v>
          </cell>
          <cell r="AP43">
            <v>0</v>
          </cell>
          <cell r="AR43">
            <v>-500</v>
          </cell>
          <cell r="AT43">
            <v>0</v>
          </cell>
        </row>
        <row r="44">
          <cell r="C44">
            <v>2015</v>
          </cell>
          <cell r="I44">
            <v>4349.7915400000002</v>
          </cell>
        </row>
        <row r="45">
          <cell r="C45">
            <v>2016</v>
          </cell>
          <cell r="I45">
            <v>216.49153000000001</v>
          </cell>
        </row>
        <row r="46">
          <cell r="C46">
            <v>2017</v>
          </cell>
          <cell r="I46">
            <v>1455.287</v>
          </cell>
        </row>
        <row r="47">
          <cell r="C47">
            <v>2018</v>
          </cell>
          <cell r="I47">
            <v>1548</v>
          </cell>
        </row>
        <row r="48">
          <cell r="C48">
            <v>2019</v>
          </cell>
          <cell r="I48">
            <v>1272</v>
          </cell>
        </row>
        <row r="49">
          <cell r="C49">
            <v>2020</v>
          </cell>
          <cell r="I49">
            <v>1423</v>
          </cell>
        </row>
        <row r="50">
          <cell r="C50">
            <v>2021</v>
          </cell>
          <cell r="I50">
            <v>1574</v>
          </cell>
        </row>
        <row r="51">
          <cell r="C51">
            <v>2022</v>
          </cell>
          <cell r="I51">
            <v>1454.25</v>
          </cell>
        </row>
        <row r="52">
          <cell r="C52" t="str">
            <v>Florida</v>
          </cell>
          <cell r="J52">
            <v>2007.1900233333336</v>
          </cell>
          <cell r="L52">
            <v>2007.1900233333336</v>
          </cell>
          <cell r="P52">
            <v>2007.1900233333336</v>
          </cell>
          <cell r="T52">
            <v>2007.1900233333336</v>
          </cell>
          <cell r="X52">
            <v>2007.1900233333336</v>
          </cell>
          <cell r="AB52">
            <v>2007.1900233333336</v>
          </cell>
          <cell r="AD52">
            <v>1454.25</v>
          </cell>
          <cell r="AH52">
            <v>1454.25</v>
          </cell>
          <cell r="AL52">
            <v>1454.25</v>
          </cell>
          <cell r="AP52">
            <v>1454.25</v>
          </cell>
          <cell r="AT52">
            <v>1454.25</v>
          </cell>
        </row>
        <row r="53">
          <cell r="C53">
            <v>2015</v>
          </cell>
          <cell r="I53">
            <v>373.01918000000001</v>
          </cell>
        </row>
        <row r="54">
          <cell r="C54">
            <v>2016</v>
          </cell>
          <cell r="I54">
            <v>322.56246000000004</v>
          </cell>
        </row>
        <row r="55">
          <cell r="C55">
            <v>2017</v>
          </cell>
          <cell r="I55">
            <v>448.29</v>
          </cell>
        </row>
        <row r="56">
          <cell r="C56">
            <v>2018</v>
          </cell>
          <cell r="I56">
            <v>441</v>
          </cell>
        </row>
        <row r="57">
          <cell r="C57">
            <v>2019</v>
          </cell>
          <cell r="I57">
            <v>257</v>
          </cell>
        </row>
        <row r="58">
          <cell r="C58">
            <v>2020</v>
          </cell>
          <cell r="I58">
            <v>0</v>
          </cell>
        </row>
        <row r="59">
          <cell r="C59">
            <v>2021</v>
          </cell>
          <cell r="I59">
            <v>0</v>
          </cell>
        </row>
        <row r="60">
          <cell r="C60">
            <v>2022</v>
          </cell>
          <cell r="I60">
            <v>174.5</v>
          </cell>
        </row>
        <row r="61">
          <cell r="C61" t="str">
            <v>Indiana</v>
          </cell>
          <cell r="J61">
            <v>381.29054666666667</v>
          </cell>
          <cell r="L61">
            <v>381.29054666666667</v>
          </cell>
          <cell r="P61">
            <v>381.29054666666667</v>
          </cell>
          <cell r="T61">
            <v>381.29054666666667</v>
          </cell>
          <cell r="X61">
            <v>381.29054666666667</v>
          </cell>
          <cell r="AB61">
            <v>381.29054666666667</v>
          </cell>
          <cell r="AD61">
            <v>174.5</v>
          </cell>
          <cell r="AH61">
            <v>174.5</v>
          </cell>
          <cell r="AL61">
            <v>174.5</v>
          </cell>
          <cell r="AP61">
            <v>174.5</v>
          </cell>
          <cell r="AT61">
            <v>174.5</v>
          </cell>
        </row>
        <row r="62">
          <cell r="C62">
            <v>2015</v>
          </cell>
          <cell r="I62">
            <v>1861.7841100000001</v>
          </cell>
        </row>
        <row r="63">
          <cell r="C63">
            <v>2016</v>
          </cell>
          <cell r="I63">
            <v>0</v>
          </cell>
        </row>
        <row r="64">
          <cell r="C64">
            <v>2017</v>
          </cell>
          <cell r="I64">
            <v>0</v>
          </cell>
        </row>
        <row r="65">
          <cell r="C65">
            <v>2018</v>
          </cell>
          <cell r="I65">
            <v>0</v>
          </cell>
        </row>
        <row r="66">
          <cell r="C66">
            <v>2019</v>
          </cell>
          <cell r="I66">
            <v>260</v>
          </cell>
        </row>
        <row r="67">
          <cell r="C67">
            <v>2020</v>
          </cell>
          <cell r="I67">
            <v>183</v>
          </cell>
        </row>
        <row r="68">
          <cell r="C68">
            <v>2021</v>
          </cell>
          <cell r="I68">
            <v>576</v>
          </cell>
        </row>
        <row r="69">
          <cell r="C69">
            <v>2022</v>
          </cell>
          <cell r="I69">
            <v>254.74999999999997</v>
          </cell>
        </row>
        <row r="70">
          <cell r="C70" t="str">
            <v>South Dakota</v>
          </cell>
          <cell r="J70">
            <v>620.59470333333331</v>
          </cell>
          <cell r="L70">
            <v>620.59470333333331</v>
          </cell>
          <cell r="P70">
            <v>620.59470333333331</v>
          </cell>
          <cell r="T70">
            <v>620.59470333333331</v>
          </cell>
          <cell r="X70">
            <v>620.59470333333331</v>
          </cell>
          <cell r="AB70">
            <v>620.59470333333331</v>
          </cell>
          <cell r="AD70">
            <v>254.75</v>
          </cell>
          <cell r="AH70">
            <v>254.75</v>
          </cell>
          <cell r="AL70">
            <v>254.75</v>
          </cell>
          <cell r="AP70">
            <v>254.75</v>
          </cell>
          <cell r="AT70">
            <v>254.75</v>
          </cell>
        </row>
        <row r="71">
          <cell r="C71">
            <v>2015</v>
          </cell>
          <cell r="I71">
            <v>106.63474000000001</v>
          </cell>
        </row>
        <row r="72">
          <cell r="C72">
            <v>2016</v>
          </cell>
          <cell r="I72">
            <v>12.097799999999999</v>
          </cell>
        </row>
        <row r="73">
          <cell r="C73">
            <v>2017</v>
          </cell>
          <cell r="I73">
            <v>1846.4694639999998</v>
          </cell>
        </row>
        <row r="74">
          <cell r="C74">
            <v>2018</v>
          </cell>
          <cell r="I74">
            <v>1846</v>
          </cell>
        </row>
        <row r="75">
          <cell r="C75">
            <v>2019</v>
          </cell>
          <cell r="I75">
            <v>8536</v>
          </cell>
        </row>
        <row r="76">
          <cell r="C76">
            <v>2020</v>
          </cell>
          <cell r="I76">
            <v>0</v>
          </cell>
        </row>
        <row r="77">
          <cell r="C77">
            <v>2021</v>
          </cell>
          <cell r="I77">
            <v>0</v>
          </cell>
        </row>
        <row r="78">
          <cell r="C78">
            <v>2022</v>
          </cell>
          <cell r="I78">
            <v>2595.5</v>
          </cell>
        </row>
        <row r="79">
          <cell r="C79" t="str">
            <v>California</v>
          </cell>
          <cell r="J79">
            <v>655.06733466666662</v>
          </cell>
          <cell r="L79">
            <v>655.06733466666662</v>
          </cell>
          <cell r="N79">
            <v>-655.06733466666662</v>
          </cell>
          <cell r="P79">
            <v>0</v>
          </cell>
          <cell r="R79">
            <v>-655.06733466666662</v>
          </cell>
          <cell r="T79">
            <v>0</v>
          </cell>
          <cell r="V79">
            <v>-655.06733466666662</v>
          </cell>
          <cell r="X79">
            <v>0</v>
          </cell>
          <cell r="Z79">
            <v>-655.06733466666662</v>
          </cell>
          <cell r="AB79">
            <v>0</v>
          </cell>
          <cell r="AD79">
            <v>2595.5</v>
          </cell>
          <cell r="AF79">
            <v>-2595.5</v>
          </cell>
          <cell r="AH79">
            <v>0</v>
          </cell>
          <cell r="AJ79">
            <v>-2595.5</v>
          </cell>
          <cell r="AL79">
            <v>0</v>
          </cell>
          <cell r="AN79">
            <v>-2595.5</v>
          </cell>
          <cell r="AP79">
            <v>0</v>
          </cell>
          <cell r="AR79">
            <v>-2595.5</v>
          </cell>
          <cell r="AT79">
            <v>0</v>
          </cell>
        </row>
        <row r="80">
          <cell r="C80" t="str">
            <v>Total:</v>
          </cell>
          <cell r="J80">
            <v>4664.1426080000001</v>
          </cell>
          <cell r="L80">
            <v>4164.1426080000001</v>
          </cell>
          <cell r="P80">
            <v>3509.0752733333334</v>
          </cell>
          <cell r="T80">
            <v>3009.0752733333334</v>
          </cell>
          <cell r="X80">
            <v>3009.0752733333334</v>
          </cell>
          <cell r="AB80">
            <v>3009.0752733333334</v>
          </cell>
          <cell r="AD80">
            <v>4979</v>
          </cell>
          <cell r="AH80">
            <v>1883.5</v>
          </cell>
          <cell r="AL80">
            <v>1883.5</v>
          </cell>
          <cell r="AP80">
            <v>1883.5</v>
          </cell>
          <cell r="AT80">
            <v>1883.5</v>
          </cell>
        </row>
        <row r="82">
          <cell r="C82" t="str">
            <v>Total EBITDA less CapEx:</v>
          </cell>
          <cell r="J82">
            <v>3207.8573919999999</v>
          </cell>
          <cell r="L82">
            <v>8002.8786234129984</v>
          </cell>
          <cell r="P82">
            <v>4909.6961616845401</v>
          </cell>
          <cell r="T82">
            <v>4305.4985108308574</v>
          </cell>
          <cell r="X82">
            <v>3684.077630499482</v>
          </cell>
          <cell r="AB82">
            <v>2305.4985108308579</v>
          </cell>
          <cell r="AD82">
            <v>8342.7000000000007</v>
          </cell>
          <cell r="AH82">
            <v>7515.2000000000007</v>
          </cell>
          <cell r="AL82">
            <v>6319.7829999999994</v>
          </cell>
          <cell r="AP82">
            <v>4319.7830000000004</v>
          </cell>
          <cell r="AT82">
            <v>2594.1644688149399</v>
          </cell>
        </row>
        <row r="85">
          <cell r="C85" t="str">
            <v>Enterprise Value:</v>
          </cell>
          <cell r="D85" t="str">
            <v>Δ</v>
          </cell>
          <cell r="F85" t="str">
            <v>Cumul. Δ</v>
          </cell>
          <cell r="H85" t="str">
            <v xml:space="preserve">Description </v>
          </cell>
          <cell r="L85" t="str">
            <v xml:space="preserve">Implied Enterprise Value / OCF Multiple: </v>
          </cell>
        </row>
        <row r="87">
          <cell r="C87">
            <v>22100</v>
          </cell>
          <cell r="D87">
            <v>0</v>
          </cell>
          <cell r="F87">
            <v>0</v>
          </cell>
          <cell r="H87" t="str">
            <v xml:space="preserve">Excludes Waco </v>
          </cell>
          <cell r="J87">
            <v>2.8074186991869921</v>
          </cell>
          <cell r="L87">
            <v>2.7615063329018708</v>
          </cell>
          <cell r="T87">
            <v>5.1329712330420092</v>
          </cell>
          <cell r="X87" t="str">
            <v>N/A</v>
          </cell>
          <cell r="AB87">
            <v>4.1583767386674086</v>
          </cell>
          <cell r="AD87">
            <v>2.6490224987114481</v>
          </cell>
          <cell r="AL87">
            <v>3.4969555125547824</v>
          </cell>
        </row>
        <row r="88">
          <cell r="C88">
            <v>26000</v>
          </cell>
          <cell r="D88">
            <v>3900</v>
          </cell>
          <cell r="F88">
            <v>12800</v>
          </cell>
          <cell r="H88" t="str">
            <v xml:space="preserve">Incl. Waco - Purchase Price in Deck </v>
          </cell>
          <cell r="L88">
            <v>3.2488309798845538</v>
          </cell>
          <cell r="P88">
            <v>5.2956433847994528</v>
          </cell>
          <cell r="AD88">
            <v>3.1164970573075861</v>
          </cell>
          <cell r="AH88">
            <v>3.4596550989993609</v>
          </cell>
        </row>
        <row r="89">
          <cell r="C89">
            <v>31000</v>
          </cell>
          <cell r="D89">
            <v>5000</v>
          </cell>
          <cell r="F89">
            <v>17800</v>
          </cell>
          <cell r="H89" t="str">
            <v>Includes ETX Earnout</v>
          </cell>
          <cell r="L89">
            <v>3.8736061683238909</v>
          </cell>
          <cell r="P89">
            <v>6.314036343414732</v>
          </cell>
          <cell r="AD89">
            <v>3.7158234144821218</v>
          </cell>
          <cell r="AH89">
            <v>4.1249733872684686</v>
          </cell>
        </row>
        <row r="91">
          <cell r="C91" t="str">
            <v xml:space="preserve">Assumes ~$5MM NWC release from wind-down of CA contract(2): </v>
          </cell>
        </row>
        <row r="92">
          <cell r="C92">
            <v>17100</v>
          </cell>
          <cell r="H92" t="str">
            <v xml:space="preserve">Excludes Waco </v>
          </cell>
          <cell r="J92">
            <v>2.1722560975609757</v>
          </cell>
          <cell r="L92">
            <v>2.1367311444625332</v>
          </cell>
          <cell r="T92">
            <v>3.9716655242089756</v>
          </cell>
          <cell r="X92" t="str">
            <v>N/A</v>
          </cell>
          <cell r="AB92">
            <v>3.2175675217743303</v>
          </cell>
          <cell r="AD92">
            <v>2.0496961415369124</v>
          </cell>
          <cell r="AL92">
            <v>2.705789106999402</v>
          </cell>
        </row>
        <row r="93">
          <cell r="C93">
            <v>21000</v>
          </cell>
          <cell r="H93" t="str">
            <v>Includes Waco</v>
          </cell>
          <cell r="L93">
            <v>2.6240557914452163</v>
          </cell>
          <cell r="P93">
            <v>4.2772504261841737</v>
          </cell>
          <cell r="AD93">
            <v>2.5171707001330503</v>
          </cell>
          <cell r="AH93">
            <v>2.7943368107302531</v>
          </cell>
        </row>
        <row r="94">
          <cell r="C94">
            <v>26000</v>
          </cell>
          <cell r="H94" t="str">
            <v>Includes ETX Earnout</v>
          </cell>
          <cell r="L94">
            <v>3.2488309798845538</v>
          </cell>
          <cell r="P94">
            <v>5.2956433847994528</v>
          </cell>
          <cell r="AD94">
            <v>3.1164970573075861</v>
          </cell>
          <cell r="AH94">
            <v>3.4596550989993609</v>
          </cell>
        </row>
      </sheetData>
      <sheetData sheetId="35">
        <row r="6">
          <cell r="D6" t="str">
            <v>A/P Aging Summary</v>
          </cell>
        </row>
        <row r="8">
          <cell r="D8" t="str">
            <v>0-30 Days</v>
          </cell>
          <cell r="F8" t="str">
            <v>31-60 Days</v>
          </cell>
          <cell r="H8" t="str">
            <v>61-90 Days</v>
          </cell>
          <cell r="J8" t="str">
            <v xml:space="preserve">Over 90 Days </v>
          </cell>
          <cell r="L8" t="str">
            <v>Total</v>
          </cell>
        </row>
        <row r="10">
          <cell r="D10">
            <v>1.32887515</v>
          </cell>
          <cell r="F10">
            <v>0.29503954999999998</v>
          </cell>
          <cell r="H10">
            <v>1.234407E-2</v>
          </cell>
          <cell r="J10">
            <v>0.14009995</v>
          </cell>
          <cell r="L10">
            <v>1.7763587199999999</v>
          </cell>
        </row>
      </sheetData>
      <sheetData sheetId="36"/>
      <sheetData sheetId="37"/>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LBO"/>
      <sheetName val="Lender Model"/>
      <sheetName val="OUTPUTS --- &gt;"/>
      <sheetName val="Seller Payout Analysis"/>
      <sheetName val="Ouput P&amp;L - Standalone"/>
      <sheetName val="Ouput P&amp;L"/>
      <sheetName val="Acquisitions P&amp;L"/>
      <sheetName val="S&amp;U and Cap Table"/>
      <sheetName val="Returns Sensitivities"/>
      <sheetName val="EBITDA Waterfall"/>
      <sheetName val="CHEP EBITDA Waterfall"/>
      <sheetName val="PPR"/>
      <sheetName val="Quality of Earnings"/>
      <sheetName val="PRIME --- &gt;"/>
      <sheetName val="Op Scenarios - Prime"/>
      <sheetName val="Op Scenarios - CHEP -NOT IN USE"/>
      <sheetName val="CHEP --- &gt;"/>
      <sheetName val="Op Scenarios - CHEP"/>
      <sheetName val="CHEP - Base Business"/>
      <sheetName val="CHEP-Productivity initiatives "/>
      <sheetName val="CHEP - Customer re-wins"/>
      <sheetName val="CHEP-Market &amp; product expansion"/>
      <sheetName val="Paramount"/>
      <sheetName val="Acquisition Scenarios"/>
      <sheetName val="Synergies"/>
      <sheetName val="PRIME EBITDA Waterfall "/>
      <sheetName val="Transaction Comps"/>
      <sheetName val="Sheet1"/>
      <sheetName val="EBITDA Waterfall - NB Pres."/>
      <sheetName val="S&amp;U and Cap Table - PWC SA"/>
      <sheetName val="Sheet3"/>
      <sheetName val="S&amp;U and Cap Table - PWC SA (2)"/>
    </sheetNames>
    <sheetDataSet>
      <sheetData sheetId="0" refreshError="1"/>
      <sheetData sheetId="1" refreshError="1"/>
      <sheetData sheetId="2" refreshError="1"/>
      <sheetData sheetId="3" refreshError="1"/>
      <sheetData sheetId="4" refreshError="1"/>
      <sheetData sheetId="5">
        <row r="5">
          <cell r="B5" t="str">
            <v>$ millions</v>
          </cell>
          <cell r="G5">
            <v>2015</v>
          </cell>
          <cell r="I5">
            <v>2016</v>
          </cell>
          <cell r="K5">
            <v>2017</v>
          </cell>
          <cell r="M5" t="str">
            <v>LTM 06/18</v>
          </cell>
          <cell r="O5">
            <v>2018</v>
          </cell>
          <cell r="Q5">
            <v>2019</v>
          </cell>
          <cell r="S5">
            <v>2020</v>
          </cell>
          <cell r="U5">
            <v>2021</v>
          </cell>
          <cell r="W5">
            <v>2022</v>
          </cell>
        </row>
        <row r="7">
          <cell r="C7" t="str">
            <v>Revenue:</v>
          </cell>
        </row>
        <row r="8">
          <cell r="B8" t="str">
            <v>Titus</v>
          </cell>
          <cell r="C8" t="str">
            <v>CHEP Recycled</v>
          </cell>
          <cell r="G8">
            <v>0</v>
          </cell>
          <cell r="I8">
            <v>0</v>
          </cell>
          <cell r="K8">
            <v>0</v>
          </cell>
          <cell r="O8">
            <v>0</v>
          </cell>
          <cell r="Q8">
            <v>0</v>
          </cell>
          <cell r="S8">
            <v>0</v>
          </cell>
          <cell r="U8">
            <v>0</v>
          </cell>
          <cell r="W8">
            <v>0</v>
          </cell>
        </row>
        <row r="9">
          <cell r="C9" t="str">
            <v xml:space="preserve">% Growth </v>
          </cell>
          <cell r="G9" t="str">
            <v>-</v>
          </cell>
          <cell r="I9" t="e">
            <v>#DIV/0!</v>
          </cell>
          <cell r="K9" t="e">
            <v>#DIV/0!</v>
          </cell>
          <cell r="O9" t="e">
            <v>#DIV/0!</v>
          </cell>
          <cell r="Q9" t="e">
            <v>#DIV/0!</v>
          </cell>
          <cell r="S9" t="e">
            <v>#DIV/0!</v>
          </cell>
          <cell r="U9" t="e">
            <v>#DIV/0!</v>
          </cell>
          <cell r="W9" t="e">
            <v>#DIV/0!</v>
          </cell>
        </row>
        <row r="10">
          <cell r="B10" t="str">
            <v>KV</v>
          </cell>
          <cell r="C10" t="str">
            <v>Prime Woodrcraft</v>
          </cell>
          <cell r="G10">
            <v>48.8</v>
          </cell>
          <cell r="I10">
            <v>58.8</v>
          </cell>
          <cell r="K10">
            <v>67.5</v>
          </cell>
          <cell r="O10">
            <v>110.7</v>
          </cell>
          <cell r="Q10">
            <v>121.77000000000001</v>
          </cell>
          <cell r="S10">
            <v>130.90275</v>
          </cell>
          <cell r="U10">
            <v>137.44788750000001</v>
          </cell>
          <cell r="W10">
            <v>144.32028187500001</v>
          </cell>
        </row>
        <row r="11">
          <cell r="C11" t="str">
            <v xml:space="preserve">% Growth </v>
          </cell>
          <cell r="G11" t="str">
            <v>-</v>
          </cell>
          <cell r="I11">
            <v>0.20491803278688536</v>
          </cell>
          <cell r="K11">
            <v>0.1479591836734695</v>
          </cell>
          <cell r="O11">
            <v>0.64000000000000012</v>
          </cell>
          <cell r="Q11">
            <v>0.10000000000000009</v>
          </cell>
          <cell r="S11">
            <v>7.4999999999999956E-2</v>
          </cell>
          <cell r="U11">
            <v>5.0000000000000044E-2</v>
          </cell>
          <cell r="W11">
            <v>5.0000000000000044E-2</v>
          </cell>
        </row>
        <row r="13">
          <cell r="C13" t="str">
            <v>Total Revenue</v>
          </cell>
          <cell r="G13">
            <v>48.8</v>
          </cell>
          <cell r="I13">
            <v>58.8</v>
          </cell>
          <cell r="K13">
            <v>67.5</v>
          </cell>
          <cell r="O13">
            <v>110.7</v>
          </cell>
          <cell r="Q13">
            <v>121.77000000000001</v>
          </cell>
          <cell r="S13">
            <v>130.90275</v>
          </cell>
          <cell r="U13">
            <v>137.44788750000001</v>
          </cell>
          <cell r="W13">
            <v>144.32028187500001</v>
          </cell>
        </row>
        <row r="14">
          <cell r="C14" t="str">
            <v>% Growth</v>
          </cell>
          <cell r="G14" t="str">
            <v>-</v>
          </cell>
          <cell r="I14">
            <v>0.20491803278688536</v>
          </cell>
          <cell r="K14">
            <v>0.1479591836734695</v>
          </cell>
          <cell r="O14">
            <v>0.64000000000000012</v>
          </cell>
          <cell r="Q14">
            <v>0.10000000000000009</v>
          </cell>
          <cell r="S14">
            <v>7.4999999999999956E-2</v>
          </cell>
          <cell r="U14">
            <v>5.0000000000000044E-2</v>
          </cell>
          <cell r="W14">
            <v>5.0000000000000044E-2</v>
          </cell>
        </row>
        <row r="16">
          <cell r="C16" t="str">
            <v>Gross Profit:</v>
          </cell>
        </row>
        <row r="17">
          <cell r="C17" t="str">
            <v>CHEP Recycled</v>
          </cell>
          <cell r="G17">
            <v>0</v>
          </cell>
          <cell r="I17">
            <v>0</v>
          </cell>
          <cell r="K17">
            <v>0</v>
          </cell>
          <cell r="O17">
            <v>0</v>
          </cell>
          <cell r="Q17">
            <v>0</v>
          </cell>
          <cell r="S17">
            <v>0</v>
          </cell>
          <cell r="U17">
            <v>0</v>
          </cell>
          <cell r="W17">
            <v>0</v>
          </cell>
        </row>
        <row r="18">
          <cell r="C18" t="str">
            <v>% CHEP Recycled Revenue</v>
          </cell>
          <cell r="G18" t="e">
            <v>#DIV/0!</v>
          </cell>
          <cell r="I18" t="e">
            <v>#DIV/0!</v>
          </cell>
          <cell r="K18" t="e">
            <v>#DIV/0!</v>
          </cell>
          <cell r="O18" t="e">
            <v>#DIV/0!</v>
          </cell>
          <cell r="Q18" t="e">
            <v>#DIV/0!</v>
          </cell>
          <cell r="S18" t="e">
            <v>#DIV/0!</v>
          </cell>
          <cell r="U18" t="e">
            <v>#DIV/0!</v>
          </cell>
          <cell r="W18" t="e">
            <v>#DIV/0!</v>
          </cell>
        </row>
        <row r="19">
          <cell r="C19" t="str">
            <v>Prime Woodrcraft</v>
          </cell>
          <cell r="G19">
            <v>5.7675789999999978</v>
          </cell>
          <cell r="I19">
            <v>8.9501635799999946</v>
          </cell>
          <cell r="K19">
            <v>10.125</v>
          </cell>
          <cell r="O19">
            <v>17.158500000000004</v>
          </cell>
          <cell r="Q19">
            <v>18.874350000000007</v>
          </cell>
          <cell r="S19">
            <v>20.289926250000008</v>
          </cell>
          <cell r="U19">
            <v>21.304422562500008</v>
          </cell>
          <cell r="W19">
            <v>22.369643690625011</v>
          </cell>
        </row>
        <row r="20">
          <cell r="C20" t="str">
            <v>% Prime Woodcraft Revenue</v>
          </cell>
          <cell r="G20">
            <v>0.11818809426229504</v>
          </cell>
          <cell r="I20">
            <v>0.15221366632653052</v>
          </cell>
          <cell r="K20">
            <v>0.15</v>
          </cell>
          <cell r="O20">
            <v>0.15500000000000003</v>
          </cell>
          <cell r="Q20">
            <v>0.15500000000000005</v>
          </cell>
          <cell r="S20">
            <v>0.15500000000000005</v>
          </cell>
          <cell r="U20">
            <v>0.15500000000000005</v>
          </cell>
          <cell r="W20">
            <v>0.15500000000000008</v>
          </cell>
        </row>
        <row r="22">
          <cell r="C22" t="str">
            <v>Total Gross Profit</v>
          </cell>
          <cell r="G22">
            <v>5.7675789999999978</v>
          </cell>
          <cell r="I22">
            <v>8.9501635799999946</v>
          </cell>
          <cell r="K22">
            <v>10.125</v>
          </cell>
          <cell r="O22">
            <v>17.158500000000004</v>
          </cell>
          <cell r="Q22">
            <v>18.874350000000007</v>
          </cell>
          <cell r="S22">
            <v>20.289926250000008</v>
          </cell>
          <cell r="U22">
            <v>21.304422562500008</v>
          </cell>
          <cell r="W22">
            <v>22.369643690625011</v>
          </cell>
        </row>
        <row r="23">
          <cell r="C23" t="str">
            <v>Gross Profit Margin %</v>
          </cell>
          <cell r="G23">
            <v>0.11818809426229504</v>
          </cell>
          <cell r="I23">
            <v>0.15221366632653052</v>
          </cell>
          <cell r="K23">
            <v>0.15</v>
          </cell>
          <cell r="O23">
            <v>0.15500000000000003</v>
          </cell>
          <cell r="Q23">
            <v>0.15500000000000005</v>
          </cell>
          <cell r="S23">
            <v>0.15500000000000005</v>
          </cell>
          <cell r="U23">
            <v>0.15500000000000005</v>
          </cell>
          <cell r="W23">
            <v>0.15500000000000008</v>
          </cell>
        </row>
        <row r="25">
          <cell r="C25" t="str">
            <v>PF Adjusted EBITDA:</v>
          </cell>
        </row>
        <row r="26">
          <cell r="B26" t="str">
            <v>Titus</v>
          </cell>
          <cell r="C26" t="str">
            <v>CHEP Recycled</v>
          </cell>
          <cell r="G26">
            <v>0</v>
          </cell>
          <cell r="I26">
            <v>0</v>
          </cell>
          <cell r="K26">
            <v>0</v>
          </cell>
          <cell r="M26">
            <v>12.754350464099391</v>
          </cell>
          <cell r="O26">
            <v>0</v>
          </cell>
          <cell r="Q26">
            <v>0</v>
          </cell>
          <cell r="S26">
            <v>0</v>
          </cell>
          <cell r="U26">
            <v>0</v>
          </cell>
          <cell r="W26">
            <v>0</v>
          </cell>
        </row>
        <row r="27">
          <cell r="C27" t="str">
            <v>% CHEP Recycled Revenue</v>
          </cell>
          <cell r="G27" t="e">
            <v>#DIV/0!</v>
          </cell>
          <cell r="I27" t="e">
            <v>#DIV/0!</v>
          </cell>
          <cell r="K27" t="e">
            <v>#DIV/0!</v>
          </cell>
          <cell r="O27" t="e">
            <v>#DIV/0!</v>
          </cell>
          <cell r="Q27" t="e">
            <v>#DIV/0!</v>
          </cell>
          <cell r="S27" t="e">
            <v>#DIV/0!</v>
          </cell>
          <cell r="U27" t="e">
            <v>#DIV/0!</v>
          </cell>
          <cell r="W27" t="e">
            <v>#DIV/0!</v>
          </cell>
        </row>
        <row r="28">
          <cell r="B28" t="str">
            <v>KV</v>
          </cell>
          <cell r="C28" t="str">
            <v>Prime Woodrcraft</v>
          </cell>
          <cell r="G28">
            <v>4</v>
          </cell>
          <cell r="I28">
            <v>4.9000000000000004</v>
          </cell>
          <cell r="K28">
            <v>4.6250000000000009</v>
          </cell>
          <cell r="M28">
            <v>4.6305730000000001</v>
          </cell>
          <cell r="O28">
            <v>7.7490000000000023</v>
          </cell>
          <cell r="Q28">
            <v>8.5239000000000047</v>
          </cell>
          <cell r="S28">
            <v>9.1631925000000063</v>
          </cell>
          <cell r="U28">
            <v>9.6213521250000067</v>
          </cell>
          <cell r="W28">
            <v>10.102419731250009</v>
          </cell>
        </row>
        <row r="29">
          <cell r="C29" t="str">
            <v>% Prime Woodcraft Revenue</v>
          </cell>
          <cell r="G29">
            <v>8.1967213114754106E-2</v>
          </cell>
          <cell r="I29">
            <v>8.3333333333333343E-2</v>
          </cell>
          <cell r="K29">
            <v>6.8518518518518534E-2</v>
          </cell>
          <cell r="O29">
            <v>7.0000000000000021E-2</v>
          </cell>
          <cell r="Q29">
            <v>7.0000000000000034E-2</v>
          </cell>
          <cell r="S29">
            <v>7.0000000000000048E-2</v>
          </cell>
          <cell r="U29">
            <v>7.0000000000000048E-2</v>
          </cell>
          <cell r="W29">
            <v>7.0000000000000062E-2</v>
          </cell>
        </row>
        <row r="30">
          <cell r="C30" t="str">
            <v xml:space="preserve">Affiliated Prime Businesses  </v>
          </cell>
          <cell r="G30">
            <v>0</v>
          </cell>
          <cell r="I30">
            <v>2.8000000000000003</v>
          </cell>
          <cell r="K30">
            <v>2.8000000000000003</v>
          </cell>
          <cell r="M30">
            <v>2.8000000000000003</v>
          </cell>
          <cell r="O30">
            <v>2.8000000000000003</v>
          </cell>
          <cell r="Q30">
            <v>2.8000000000000003</v>
          </cell>
          <cell r="S30">
            <v>2.8000000000000003</v>
          </cell>
          <cell r="U30">
            <v>2.8000000000000003</v>
          </cell>
          <cell r="W30">
            <v>2.8000000000000003</v>
          </cell>
        </row>
        <row r="31">
          <cell r="C31" t="str">
            <v>PF Adjusted EBITDA (Pre-Synergies)</v>
          </cell>
          <cell r="G31">
            <v>4</v>
          </cell>
          <cell r="I31">
            <v>7.7000000000000011</v>
          </cell>
          <cell r="K31">
            <v>7.4250000000000007</v>
          </cell>
          <cell r="M31">
            <v>20.184923464099391</v>
          </cell>
          <cell r="O31">
            <v>10.549000000000003</v>
          </cell>
          <cell r="Q31">
            <v>11.323900000000005</v>
          </cell>
          <cell r="S31">
            <v>11.963192500000007</v>
          </cell>
          <cell r="U31">
            <v>12.421352125000007</v>
          </cell>
          <cell r="W31">
            <v>12.90241973125001</v>
          </cell>
        </row>
        <row r="32">
          <cell r="C32" t="str">
            <v xml:space="preserve">Transaction Synergies </v>
          </cell>
          <cell r="G32">
            <v>0</v>
          </cell>
          <cell r="I32">
            <v>0</v>
          </cell>
          <cell r="K32">
            <v>0</v>
          </cell>
          <cell r="M32">
            <v>5.3396915640000007</v>
          </cell>
          <cell r="O32">
            <v>0</v>
          </cell>
          <cell r="Q32">
            <v>0</v>
          </cell>
          <cell r="S32">
            <v>0</v>
          </cell>
          <cell r="U32">
            <v>0</v>
          </cell>
          <cell r="W32">
            <v>0</v>
          </cell>
        </row>
        <row r="34">
          <cell r="C34" t="str">
            <v>PF Adjusted EBITDA (Synergized)</v>
          </cell>
          <cell r="G34">
            <v>4</v>
          </cell>
          <cell r="I34">
            <v>7.7000000000000011</v>
          </cell>
          <cell r="K34">
            <v>7.4250000000000007</v>
          </cell>
          <cell r="M34">
            <v>25.52461502809939</v>
          </cell>
          <cell r="O34">
            <v>10.549000000000003</v>
          </cell>
          <cell r="Q34">
            <v>11.323900000000005</v>
          </cell>
          <cell r="S34">
            <v>11.963192500000007</v>
          </cell>
          <cell r="U34">
            <v>12.421352125000007</v>
          </cell>
          <cell r="W34">
            <v>12.90241973125001</v>
          </cell>
        </row>
        <row r="35">
          <cell r="C35" t="str">
            <v>PF Adjusted EBITDA Margin %</v>
          </cell>
          <cell r="G35">
            <v>8.1967213114754106E-2</v>
          </cell>
          <cell r="I35">
            <v>0.13095238095238099</v>
          </cell>
          <cell r="K35">
            <v>0.11000000000000001</v>
          </cell>
          <cell r="O35">
            <v>9.5293586269196054E-2</v>
          </cell>
          <cell r="Q35">
            <v>9.2994169335632787E-2</v>
          </cell>
          <cell r="S35">
            <v>9.138992496337936E-2</v>
          </cell>
          <cell r="U35">
            <v>9.0371357107980332E-2</v>
          </cell>
          <cell r="W35">
            <v>8.940129248379082E-2</v>
          </cell>
        </row>
        <row r="37">
          <cell r="C37" t="str">
            <v>PF Adjusted EBIT:</v>
          </cell>
        </row>
        <row r="38">
          <cell r="C38" t="str">
            <v>CHEP Recycled</v>
          </cell>
          <cell r="G38">
            <v>0</v>
          </cell>
          <cell r="I38">
            <v>0</v>
          </cell>
          <cell r="K38">
            <v>0</v>
          </cell>
          <cell r="O38">
            <v>0</v>
          </cell>
          <cell r="Q38">
            <v>0</v>
          </cell>
          <cell r="S38">
            <v>0</v>
          </cell>
          <cell r="U38">
            <v>0</v>
          </cell>
          <cell r="W38">
            <v>0</v>
          </cell>
        </row>
        <row r="39">
          <cell r="C39" t="str">
            <v>% CHEP Recycled Revenue</v>
          </cell>
          <cell r="G39" t="e">
            <v>#DIV/0!</v>
          </cell>
          <cell r="I39" t="e">
            <v>#DIV/0!</v>
          </cell>
          <cell r="K39" t="e">
            <v>#DIV/0!</v>
          </cell>
          <cell r="O39" t="e">
            <v>#DIV/0!</v>
          </cell>
          <cell r="Q39" t="e">
            <v>#DIV/0!</v>
          </cell>
          <cell r="S39" t="e">
            <v>#DIV/0!</v>
          </cell>
          <cell r="U39" t="e">
            <v>#DIV/0!</v>
          </cell>
          <cell r="W39" t="e">
            <v>#DIV/0!</v>
          </cell>
        </row>
        <row r="40">
          <cell r="C40" t="str">
            <v>Prime Woodrcraft</v>
          </cell>
          <cell r="G40">
            <v>3</v>
          </cell>
          <cell r="I40">
            <v>3.9000000000000004</v>
          </cell>
          <cell r="K40">
            <v>3.1250000000000009</v>
          </cell>
          <cell r="O40">
            <v>6.2490000000000023</v>
          </cell>
          <cell r="Q40">
            <v>7.0239000000000047</v>
          </cell>
          <cell r="S40">
            <v>7.6631925000000063</v>
          </cell>
          <cell r="U40">
            <v>8.1213521250000067</v>
          </cell>
          <cell r="W40">
            <v>8.6024197312500092</v>
          </cell>
        </row>
        <row r="41">
          <cell r="C41" t="str">
            <v>% Prime Woodcraft Revenue</v>
          </cell>
          <cell r="G41">
            <v>6.147540983606558E-2</v>
          </cell>
          <cell r="I41">
            <v>6.6326530612244902E-2</v>
          </cell>
          <cell r="K41">
            <v>4.6296296296296308E-2</v>
          </cell>
          <cell r="O41">
            <v>5.6449864498645003E-2</v>
          </cell>
          <cell r="Q41">
            <v>5.7681694998768206E-2</v>
          </cell>
          <cell r="S41">
            <v>5.8541111626761136E-2</v>
          </cell>
          <cell r="U41">
            <v>5.9086772977867748E-2</v>
          </cell>
          <cell r="W41">
            <v>5.9606450455112162E-2</v>
          </cell>
        </row>
        <row r="42">
          <cell r="C42" t="str">
            <v xml:space="preserve">Affiliated Prime Businesses  </v>
          </cell>
          <cell r="G42">
            <v>2.0799999999999996</v>
          </cell>
          <cell r="I42">
            <v>2.0799999999999996</v>
          </cell>
          <cell r="K42">
            <v>2.2400000000000002</v>
          </cell>
          <cell r="O42">
            <v>2.2400000000000002</v>
          </cell>
          <cell r="Q42">
            <v>2.2400000000000002</v>
          </cell>
          <cell r="S42">
            <v>2.2400000000000002</v>
          </cell>
          <cell r="U42">
            <v>2.2400000000000002</v>
          </cell>
          <cell r="W42">
            <v>2.2400000000000002</v>
          </cell>
        </row>
        <row r="43">
          <cell r="C43" t="str">
            <v xml:space="preserve">Transaction D&amp;A </v>
          </cell>
          <cell r="G43">
            <v>0</v>
          </cell>
          <cell r="I43">
            <v>0</v>
          </cell>
          <cell r="K43">
            <v>0</v>
          </cell>
          <cell r="O43">
            <v>0</v>
          </cell>
          <cell r="Q43">
            <v>0</v>
          </cell>
          <cell r="S43">
            <v>0</v>
          </cell>
          <cell r="U43">
            <v>0</v>
          </cell>
          <cell r="W43">
            <v>0</v>
          </cell>
        </row>
        <row r="45">
          <cell r="C45" t="str">
            <v>PF Adjusted EBIT</v>
          </cell>
          <cell r="G45">
            <v>5.08</v>
          </cell>
          <cell r="I45">
            <v>5.98</v>
          </cell>
          <cell r="K45">
            <v>5.3650000000000011</v>
          </cell>
          <cell r="O45">
            <v>8.4890000000000025</v>
          </cell>
          <cell r="Q45">
            <v>9.2639000000000049</v>
          </cell>
          <cell r="S45">
            <v>9.9031925000000065</v>
          </cell>
          <cell r="U45">
            <v>10.361352125000007</v>
          </cell>
          <cell r="W45">
            <v>10.842419731250009</v>
          </cell>
        </row>
        <row r="46">
          <cell r="C46" t="str">
            <v>PF Adjusted EBIT Margin %</v>
          </cell>
          <cell r="G46">
            <v>0.28145944612627727</v>
          </cell>
          <cell r="I46">
            <v>0.30023745860629097</v>
          </cell>
          <cell r="K46">
            <v>0.28741884254414973</v>
          </cell>
          <cell r="O46">
            <v>0.29384603281610733</v>
          </cell>
          <cell r="Q46">
            <v>0.29331224169107811</v>
          </cell>
          <cell r="S46">
            <v>0.29405217924365656</v>
          </cell>
          <cell r="U46">
            <v>0.29399195785480187</v>
          </cell>
          <cell r="W46">
            <v>0.29399195785480181</v>
          </cell>
        </row>
        <row r="47">
          <cell r="C47" t="str">
            <v>Capital Expenditures:</v>
          </cell>
        </row>
        <row r="48">
          <cell r="C48" t="str">
            <v>CHEP Recycled</v>
          </cell>
          <cell r="G48">
            <v>0</v>
          </cell>
          <cell r="I48">
            <v>0</v>
          </cell>
          <cell r="K48">
            <v>0</v>
          </cell>
          <cell r="O48">
            <v>0</v>
          </cell>
          <cell r="Q48">
            <v>0</v>
          </cell>
          <cell r="S48">
            <v>0</v>
          </cell>
          <cell r="U48">
            <v>0</v>
          </cell>
          <cell r="W48">
            <v>0</v>
          </cell>
        </row>
        <row r="49">
          <cell r="C49" t="str">
            <v>% CHEP Recycled Revenue</v>
          </cell>
          <cell r="G49" t="e">
            <v>#DIV/0!</v>
          </cell>
          <cell r="I49" t="e">
            <v>#DIV/0!</v>
          </cell>
          <cell r="K49" t="e">
            <v>#DIV/0!</v>
          </cell>
          <cell r="O49" t="e">
            <v>#DIV/0!</v>
          </cell>
          <cell r="Q49" t="e">
            <v>#DIV/0!</v>
          </cell>
          <cell r="S49" t="e">
            <v>#DIV/0!</v>
          </cell>
          <cell r="U49" t="e">
            <v>#DIV/0!</v>
          </cell>
          <cell r="W49" t="e">
            <v>#DIV/0!</v>
          </cell>
        </row>
        <row r="50">
          <cell r="C50" t="str">
            <v>Prime Woodrcraft</v>
          </cell>
          <cell r="G50">
            <v>1</v>
          </cell>
          <cell r="I50">
            <v>1</v>
          </cell>
          <cell r="K50">
            <v>1.5</v>
          </cell>
          <cell r="O50">
            <v>1.5</v>
          </cell>
          <cell r="Q50">
            <v>1.5</v>
          </cell>
          <cell r="S50">
            <v>1.5</v>
          </cell>
          <cell r="U50">
            <v>1.5</v>
          </cell>
          <cell r="W50">
            <v>1.5</v>
          </cell>
        </row>
        <row r="51">
          <cell r="C51" t="str">
            <v>% Prime Woodcraft Revenue</v>
          </cell>
          <cell r="G51">
            <v>2.0491803278688527E-2</v>
          </cell>
          <cell r="I51">
            <v>1.7006802721088437E-2</v>
          </cell>
          <cell r="K51">
            <v>2.2222222222222223E-2</v>
          </cell>
          <cell r="O51">
            <v>1.3550135501355013E-2</v>
          </cell>
          <cell r="Q51">
            <v>1.2318305001231829E-2</v>
          </cell>
          <cell r="S51">
            <v>1.1458888373238912E-2</v>
          </cell>
          <cell r="U51">
            <v>1.0913227022132297E-2</v>
          </cell>
          <cell r="W51">
            <v>1.0393549544887902E-2</v>
          </cell>
        </row>
        <row r="52">
          <cell r="C52" t="str">
            <v xml:space="preserve">Affiliated Prime Businesses  </v>
          </cell>
          <cell r="G52">
            <v>0.51999999999999991</v>
          </cell>
          <cell r="I52">
            <v>0.51999999999999991</v>
          </cell>
          <cell r="K52">
            <v>0.56000000000000005</v>
          </cell>
          <cell r="O52">
            <v>0.56000000000000005</v>
          </cell>
          <cell r="Q52">
            <v>0.56000000000000005</v>
          </cell>
          <cell r="S52">
            <v>0.56000000000000005</v>
          </cell>
          <cell r="U52">
            <v>0.56000000000000005</v>
          </cell>
          <cell r="W52">
            <v>0.56000000000000005</v>
          </cell>
        </row>
        <row r="54">
          <cell r="C54" t="str">
            <v>Total CapEx</v>
          </cell>
          <cell r="G54">
            <v>1.52</v>
          </cell>
          <cell r="I54">
            <v>1.52</v>
          </cell>
          <cell r="K54">
            <v>2.06</v>
          </cell>
          <cell r="O54">
            <v>2.06</v>
          </cell>
          <cell r="Q54">
            <v>2.06</v>
          </cell>
          <cell r="S54">
            <v>2.06</v>
          </cell>
          <cell r="U54">
            <v>2.06</v>
          </cell>
          <cell r="W54">
            <v>2.06</v>
          </cell>
        </row>
        <row r="55">
          <cell r="C55" t="str">
            <v>% of Total Revenue</v>
          </cell>
          <cell r="G55">
            <v>3.1147540983606559E-2</v>
          </cell>
          <cell r="I55">
            <v>2.5850340136054424E-2</v>
          </cell>
          <cell r="K55">
            <v>3.0518518518518518E-2</v>
          </cell>
          <cell r="O55">
            <v>1.8608852755194218E-2</v>
          </cell>
          <cell r="Q55">
            <v>1.691713886835838E-2</v>
          </cell>
          <cell r="S55">
            <v>1.5736873365914773E-2</v>
          </cell>
          <cell r="U55">
            <v>1.4987498443728355E-2</v>
          </cell>
          <cell r="W55">
            <v>1.4273808041646052E-2</v>
          </cell>
        </row>
        <row r="57">
          <cell r="B57" t="str">
            <v>CASH FLOW:</v>
          </cell>
        </row>
        <row r="59">
          <cell r="B59" t="str">
            <v>PF Adjusted EBITDA</v>
          </cell>
          <cell r="O59">
            <v>10.549000000000003</v>
          </cell>
          <cell r="Q59">
            <v>11.323900000000005</v>
          </cell>
          <cell r="S59">
            <v>11.963192500000007</v>
          </cell>
          <cell r="U59">
            <v>12.421352125000007</v>
          </cell>
          <cell r="W59">
            <v>12.90241973125001</v>
          </cell>
        </row>
        <row r="60">
          <cell r="B60" t="str">
            <v xml:space="preserve">CapEx </v>
          </cell>
          <cell r="O60">
            <v>-2.06</v>
          </cell>
          <cell r="Q60">
            <v>-2.96</v>
          </cell>
          <cell r="S60">
            <v>-3.8690000000000002</v>
          </cell>
          <cell r="U60">
            <v>-4.787090000000001</v>
          </cell>
          <cell r="W60">
            <v>-5.7143609000000009</v>
          </cell>
        </row>
        <row r="61">
          <cell r="B61" t="str">
            <v>PWC Earn Out</v>
          </cell>
          <cell r="O61">
            <v>0</v>
          </cell>
          <cell r="Q61">
            <v>0</v>
          </cell>
          <cell r="S61">
            <v>0</v>
          </cell>
          <cell r="U61">
            <v>0</v>
          </cell>
          <cell r="W61">
            <v>0</v>
          </cell>
        </row>
        <row r="62">
          <cell r="B62" t="str">
            <v>One-Time Costs to Implement Synergies</v>
          </cell>
          <cell r="O62">
            <v>0</v>
          </cell>
          <cell r="Q62">
            <v>0</v>
          </cell>
          <cell r="S62">
            <v>0</v>
          </cell>
          <cell r="U62">
            <v>0</v>
          </cell>
          <cell r="W62">
            <v>0</v>
          </cell>
        </row>
        <row r="63">
          <cell r="B63" t="str">
            <v>One-Time Costs related to Standalone</v>
          </cell>
          <cell r="O63">
            <v>0</v>
          </cell>
          <cell r="Q63">
            <v>0</v>
          </cell>
          <cell r="S63">
            <v>0</v>
          </cell>
          <cell r="U63">
            <v>0</v>
          </cell>
          <cell r="W63">
            <v>0</v>
          </cell>
        </row>
        <row r="64">
          <cell r="B64" t="str">
            <v>Change in NWC</v>
          </cell>
          <cell r="O64">
            <v>-2.8384620814586832</v>
          </cell>
          <cell r="Q64">
            <v>-0.72735590837378794</v>
          </cell>
          <cell r="S64">
            <v>-0.60006862440837416</v>
          </cell>
          <cell r="U64">
            <v>-0.43004918082600163</v>
          </cell>
          <cell r="W64">
            <v>-0.45155163986730251</v>
          </cell>
        </row>
        <row r="65">
          <cell r="B65" t="str">
            <v>Interest on Senior Debt</v>
          </cell>
          <cell r="O65">
            <v>-0.63439956368851269</v>
          </cell>
          <cell r="Q65">
            <v>-0.97136331375904772</v>
          </cell>
          <cell r="S65">
            <v>-1.7105034315580829</v>
          </cell>
          <cell r="U65">
            <v>-2.5780905502636768</v>
          </cell>
          <cell r="W65">
            <v>-3.3761753719142686</v>
          </cell>
        </row>
        <row r="66">
          <cell r="B66" t="str">
            <v>Interest on Sub. Debt</v>
          </cell>
          <cell r="O66">
            <v>0</v>
          </cell>
          <cell r="Q66">
            <v>0</v>
          </cell>
          <cell r="S66">
            <v>0</v>
          </cell>
          <cell r="U66">
            <v>0</v>
          </cell>
          <cell r="W66">
            <v>0</v>
          </cell>
        </row>
        <row r="67">
          <cell r="B67" t="str">
            <v>Interest on Cash</v>
          </cell>
          <cell r="O67">
            <v>0</v>
          </cell>
          <cell r="Q67">
            <v>0</v>
          </cell>
          <cell r="S67">
            <v>0</v>
          </cell>
          <cell r="U67">
            <v>0</v>
          </cell>
          <cell r="W67">
            <v>0</v>
          </cell>
        </row>
        <row r="68">
          <cell r="B68" t="str">
            <v>Cash Taxes</v>
          </cell>
          <cell r="O68">
            <v>-3.1418401745245959</v>
          </cell>
          <cell r="Q68">
            <v>-4.5170146744963828</v>
          </cell>
          <cell r="S68">
            <v>-5.68907562737677</v>
          </cell>
          <cell r="U68">
            <v>-6.7494246298945333</v>
          </cell>
          <cell r="W68">
            <v>-7.8589789437342992</v>
          </cell>
        </row>
        <row r="69">
          <cell r="B69" t="str">
            <v>Add back: Non-cash Interest</v>
          </cell>
          <cell r="O69">
            <v>0</v>
          </cell>
          <cell r="Q69">
            <v>0</v>
          </cell>
          <cell r="S69">
            <v>0</v>
          </cell>
          <cell r="U69">
            <v>0</v>
          </cell>
          <cell r="W69">
            <v>0</v>
          </cell>
        </row>
        <row r="70">
          <cell r="B70" t="str">
            <v>FCF for Debt Repayment</v>
          </cell>
          <cell r="O70">
            <v>1.8742981803282106</v>
          </cell>
          <cell r="Q70">
            <v>6.0481661033707885</v>
          </cell>
          <cell r="S70">
            <v>7.9335448166567808</v>
          </cell>
          <cell r="U70">
            <v>9.6940877640157943</v>
          </cell>
          <cell r="W70">
            <v>11.336916775734142</v>
          </cell>
        </row>
      </sheetData>
      <sheetData sheetId="6">
        <row r="4">
          <cell r="B4" t="str">
            <v>Base Case</v>
          </cell>
          <cell r="Q4" t="str">
            <v>CAGR</v>
          </cell>
        </row>
        <row r="5">
          <cell r="B5" t="str">
            <v>with Acquisitions:</v>
          </cell>
          <cell r="C5">
            <v>2016</v>
          </cell>
          <cell r="E5">
            <v>2017</v>
          </cell>
          <cell r="G5">
            <v>2018</v>
          </cell>
          <cell r="I5">
            <v>2019</v>
          </cell>
          <cell r="K5">
            <v>2020</v>
          </cell>
          <cell r="M5">
            <v>2021</v>
          </cell>
          <cell r="O5">
            <v>2022</v>
          </cell>
          <cell r="Q5" t="str">
            <v>'10-'16</v>
          </cell>
        </row>
        <row r="7">
          <cell r="B7" t="str">
            <v>Number of Acquisitions</v>
          </cell>
          <cell r="C7">
            <v>0</v>
          </cell>
          <cell r="E7">
            <v>0</v>
          </cell>
          <cell r="G7">
            <v>0</v>
          </cell>
          <cell r="I7">
            <v>1</v>
          </cell>
          <cell r="K7">
            <v>1</v>
          </cell>
          <cell r="M7">
            <v>1</v>
          </cell>
          <cell r="O7">
            <v>1</v>
          </cell>
        </row>
        <row r="9">
          <cell r="B9" t="str">
            <v>Revenue:</v>
          </cell>
        </row>
        <row r="10">
          <cell r="B10" t="str">
            <v>Prime Woodcraft</v>
          </cell>
          <cell r="C10">
            <v>58.8</v>
          </cell>
          <cell r="E10">
            <v>67.5</v>
          </cell>
          <cell r="G10">
            <v>110.7</v>
          </cell>
          <cell r="I10">
            <v>121.77000000000001</v>
          </cell>
          <cell r="K10">
            <v>130.90275</v>
          </cell>
          <cell r="M10">
            <v>137.44788750000001</v>
          </cell>
          <cell r="O10">
            <v>144.32028187500001</v>
          </cell>
        </row>
        <row r="11">
          <cell r="B11" t="str">
            <v>Existing Business</v>
          </cell>
          <cell r="C11">
            <v>58.8</v>
          </cell>
          <cell r="E11">
            <v>67.5</v>
          </cell>
          <cell r="G11">
            <v>110.7</v>
          </cell>
          <cell r="I11">
            <v>121.77000000000001</v>
          </cell>
          <cell r="K11">
            <v>130.90275</v>
          </cell>
          <cell r="M11">
            <v>137.44788750000001</v>
          </cell>
          <cell r="O11">
            <v>144.32028187500001</v>
          </cell>
        </row>
        <row r="12">
          <cell r="B12" t="str">
            <v>Growth %</v>
          </cell>
          <cell r="C12">
            <v>9.0106179083782045E-4</v>
          </cell>
          <cell r="E12">
            <v>0.1479591836734695</v>
          </cell>
          <cell r="G12">
            <v>0.64000000000000012</v>
          </cell>
          <cell r="I12">
            <v>0.10000000000000009</v>
          </cell>
          <cell r="K12">
            <v>7.4999999999999956E-2</v>
          </cell>
          <cell r="M12">
            <v>5.0000000000000044E-2</v>
          </cell>
          <cell r="O12">
            <v>5.0000000000000044E-2</v>
          </cell>
        </row>
        <row r="13">
          <cell r="B13" t="str">
            <v>Acquisitions</v>
          </cell>
          <cell r="C13">
            <v>0</v>
          </cell>
          <cell r="E13">
            <v>0</v>
          </cell>
          <cell r="G13">
            <v>0</v>
          </cell>
          <cell r="I13">
            <v>60</v>
          </cell>
          <cell r="K13">
            <v>120.6</v>
          </cell>
          <cell r="M13">
            <v>181.80599999999998</v>
          </cell>
          <cell r="O13">
            <v>243.62405999999999</v>
          </cell>
        </row>
        <row r="14">
          <cell r="B14" t="str">
            <v>Growth %</v>
          </cell>
          <cell r="C14" t="str">
            <v>NA</v>
          </cell>
          <cell r="E14" t="str">
            <v>NA</v>
          </cell>
          <cell r="G14" t="str">
            <v>NA</v>
          </cell>
          <cell r="I14" t="str">
            <v>NA</v>
          </cell>
          <cell r="K14">
            <v>1.0099999999999998</v>
          </cell>
          <cell r="M14">
            <v>0.50751243781094524</v>
          </cell>
          <cell r="O14">
            <v>0.34002211148146921</v>
          </cell>
        </row>
        <row r="15">
          <cell r="B15" t="str">
            <v>Total Revenue</v>
          </cell>
          <cell r="C15">
            <v>58.8</v>
          </cell>
          <cell r="E15">
            <v>67.5</v>
          </cell>
          <cell r="G15">
            <v>110.7</v>
          </cell>
          <cell r="I15">
            <v>181.77</v>
          </cell>
          <cell r="K15">
            <v>251.50274999999999</v>
          </cell>
          <cell r="M15">
            <v>319.25388750000002</v>
          </cell>
          <cell r="O15">
            <v>387.94434187499996</v>
          </cell>
          <cell r="Q15" t="e">
            <v>#REF!</v>
          </cell>
        </row>
        <row r="16">
          <cell r="B16" t="str">
            <v>% Growth</v>
          </cell>
          <cell r="C16">
            <v>9.0106179083782045E-4</v>
          </cell>
          <cell r="E16">
            <v>0.1479591836734695</v>
          </cell>
          <cell r="G16">
            <v>0.64000000000000012</v>
          </cell>
          <cell r="I16">
            <v>0.64200542005420069</v>
          </cell>
          <cell r="K16">
            <v>0.38363178742366721</v>
          </cell>
          <cell r="M16">
            <v>0.26938527511130617</v>
          </cell>
          <cell r="O16">
            <v>0.21515933576533164</v>
          </cell>
        </row>
        <row r="18">
          <cell r="B18" t="str">
            <v>EBITDA:</v>
          </cell>
        </row>
        <row r="19">
          <cell r="B19" t="str">
            <v>Prime Woodcraft</v>
          </cell>
          <cell r="C19">
            <v>4.9000000000000004</v>
          </cell>
          <cell r="E19">
            <v>4.6250000000000009</v>
          </cell>
          <cell r="G19">
            <v>7.7490000000000023</v>
          </cell>
          <cell r="I19">
            <v>8.5239000000000047</v>
          </cell>
          <cell r="K19">
            <v>9.1631925000000063</v>
          </cell>
          <cell r="M19">
            <v>9.6213521250000067</v>
          </cell>
          <cell r="O19">
            <v>10.102419731250009</v>
          </cell>
        </row>
        <row r="20">
          <cell r="B20" t="str">
            <v>Margin %</v>
          </cell>
          <cell r="C20">
            <v>8.3333333333333343E-2</v>
          </cell>
          <cell r="E20">
            <v>6.8518518518518534E-2</v>
          </cell>
          <cell r="G20">
            <v>7.0000000000000021E-2</v>
          </cell>
          <cell r="I20">
            <v>7.0000000000000034E-2</v>
          </cell>
          <cell r="K20">
            <v>7.0000000000000048E-2</v>
          </cell>
          <cell r="M20">
            <v>7.0000000000000048E-2</v>
          </cell>
          <cell r="O20">
            <v>7.0000000000000062E-2</v>
          </cell>
        </row>
        <row r="21">
          <cell r="B21" t="str">
            <v>Prime Affiliated Companies</v>
          </cell>
          <cell r="C21">
            <v>2.8000000000000003</v>
          </cell>
          <cell r="E21">
            <v>2.8000000000000003</v>
          </cell>
          <cell r="G21">
            <v>2.8000000000000003</v>
          </cell>
          <cell r="I21">
            <v>2.8000000000000003</v>
          </cell>
          <cell r="K21">
            <v>2.8000000000000003</v>
          </cell>
          <cell r="M21">
            <v>2.8000000000000003</v>
          </cell>
          <cell r="O21">
            <v>2.8000000000000003</v>
          </cell>
        </row>
        <row r="23">
          <cell r="B23" t="str">
            <v>Existing Combined Businesses</v>
          </cell>
          <cell r="C23">
            <v>7.7833333333333332</v>
          </cell>
          <cell r="E23">
            <v>7.4935185185185205</v>
          </cell>
          <cell r="G23">
            <v>10.619000000000003</v>
          </cell>
          <cell r="I23">
            <v>11.393900000000006</v>
          </cell>
          <cell r="K23">
            <v>12.033192500000007</v>
          </cell>
          <cell r="M23">
            <v>12.491352125000008</v>
          </cell>
          <cell r="O23">
            <v>12.97241973125001</v>
          </cell>
        </row>
        <row r="25">
          <cell r="B25" t="str">
            <v>Acquisitions</v>
          </cell>
          <cell r="C25">
            <v>0</v>
          </cell>
          <cell r="E25">
            <v>0</v>
          </cell>
          <cell r="G25">
            <v>0</v>
          </cell>
          <cell r="I25">
            <v>3.9000000000000004</v>
          </cell>
          <cell r="K25">
            <v>7.8390000000000004</v>
          </cell>
          <cell r="M25">
            <v>11.817390000000001</v>
          </cell>
          <cell r="O25">
            <v>15.835563900000002</v>
          </cell>
        </row>
        <row r="26">
          <cell r="B26" t="str">
            <v>Margin %</v>
          </cell>
          <cell r="C26" t="str">
            <v>NA</v>
          </cell>
          <cell r="E26" t="str">
            <v>NA</v>
          </cell>
          <cell r="G26" t="str">
            <v>NA</v>
          </cell>
          <cell r="I26">
            <v>6.5000000000000002E-2</v>
          </cell>
          <cell r="K26">
            <v>6.5000000000000002E-2</v>
          </cell>
          <cell r="M26">
            <v>6.5000000000000016E-2</v>
          </cell>
          <cell r="O26">
            <v>6.5000000000000016E-2</v>
          </cell>
        </row>
        <row r="27">
          <cell r="B27" t="str">
            <v>Adjusted EBITDA</v>
          </cell>
          <cell r="C27">
            <v>7.7833333333333332</v>
          </cell>
          <cell r="E27">
            <v>7.4935185185185205</v>
          </cell>
          <cell r="G27">
            <v>10.619000000000003</v>
          </cell>
          <cell r="I27">
            <v>15.293900000000006</v>
          </cell>
          <cell r="K27">
            <v>19.872192500000008</v>
          </cell>
          <cell r="M27">
            <v>24.308742125000009</v>
          </cell>
          <cell r="O27">
            <v>28.807983631250011</v>
          </cell>
          <cell r="Q27" t="e">
            <v>#REF!</v>
          </cell>
        </row>
        <row r="28">
          <cell r="B28" t="str">
            <v xml:space="preserve">%  Margin </v>
          </cell>
          <cell r="C28">
            <v>0.13236961451247167</v>
          </cell>
          <cell r="E28">
            <v>0.11101508916323734</v>
          </cell>
          <cell r="G28">
            <v>9.5925925925925956E-2</v>
          </cell>
          <cell r="I28">
            <v>8.4138746767893527E-2</v>
          </cell>
          <cell r="K28">
            <v>7.9013817940360526E-2</v>
          </cell>
          <cell r="M28">
            <v>7.6142352769314386E-2</v>
          </cell>
          <cell r="O28">
            <v>7.4258032716796957E-2</v>
          </cell>
        </row>
        <row r="30">
          <cell r="B30" t="str">
            <v>Total CapEx</v>
          </cell>
          <cell r="C30">
            <v>1</v>
          </cell>
          <cell r="E30">
            <v>1.5</v>
          </cell>
          <cell r="G30">
            <v>2.06</v>
          </cell>
          <cell r="I30">
            <v>2.96</v>
          </cell>
          <cell r="K30">
            <v>3.8690000000000002</v>
          </cell>
          <cell r="M30">
            <v>4.787090000000001</v>
          </cell>
          <cell r="O30">
            <v>5.7143609000000009</v>
          </cell>
          <cell r="Q30" t="e">
            <v>#REF!</v>
          </cell>
        </row>
        <row r="31">
          <cell r="B31" t="str">
            <v>% Total Revenue</v>
          </cell>
          <cell r="C31">
            <v>1.7006802721088437E-2</v>
          </cell>
          <cell r="E31">
            <v>2.2222222222222223E-2</v>
          </cell>
          <cell r="G31">
            <v>1.8608852755194218E-2</v>
          </cell>
          <cell r="I31">
            <v>1.6284315343566044E-2</v>
          </cell>
          <cell r="K31">
            <v>1.5383529603553044E-2</v>
          </cell>
          <cell r="M31">
            <v>1.4994617724114638E-2</v>
          </cell>
          <cell r="O31">
            <v>1.4729847256906849E-2</v>
          </cell>
        </row>
      </sheetData>
      <sheetData sheetId="7">
        <row r="4">
          <cell r="D4" t="str">
            <v>LTM</v>
          </cell>
        </row>
        <row r="5">
          <cell r="D5" t="str">
            <v xml:space="preserve">Adj. EBITDA </v>
          </cell>
        </row>
        <row r="6">
          <cell r="B6" t="str">
            <v xml:space="preserve">CHEP </v>
          </cell>
          <cell r="D6" t="e">
            <v>#REF!</v>
          </cell>
        </row>
        <row r="7">
          <cell r="B7" t="str">
            <v>Prime</v>
          </cell>
          <cell r="D7">
            <v>4.6305730000000001</v>
          </cell>
        </row>
        <row r="8">
          <cell r="B8" t="str">
            <v>Prime Affiliates</v>
          </cell>
          <cell r="D8">
            <v>2.8000000000000003</v>
          </cell>
        </row>
        <row r="9">
          <cell r="B9" t="str">
            <v>Combined EBITDA</v>
          </cell>
          <cell r="D9" t="e">
            <v>#REF!</v>
          </cell>
        </row>
        <row r="10">
          <cell r="B10" t="str">
            <v>+ Synergies</v>
          </cell>
          <cell r="D10">
            <v>0</v>
          </cell>
        </row>
        <row r="11">
          <cell r="B11" t="str">
            <v>PF Combined EBITDA</v>
          </cell>
          <cell r="D11" t="e">
            <v>#REF!</v>
          </cell>
        </row>
        <row r="14">
          <cell r="B14" t="str">
            <v>Sources and Uses</v>
          </cell>
        </row>
        <row r="15">
          <cell r="F15" t="str">
            <v>Mult. of</v>
          </cell>
          <cell r="H15" t="str">
            <v>%</v>
          </cell>
          <cell r="J15" t="str">
            <v>%</v>
          </cell>
        </row>
        <row r="16">
          <cell r="B16" t="str">
            <v>Sources:</v>
          </cell>
          <cell r="D16" t="str">
            <v>$</v>
          </cell>
          <cell r="F16" t="str">
            <v>Adj. EBITDA</v>
          </cell>
          <cell r="H16" t="str">
            <v>of Total</v>
          </cell>
          <cell r="J16" t="str">
            <v>Ownership</v>
          </cell>
        </row>
        <row r="17">
          <cell r="B17" t="str">
            <v>Senior Debt</v>
          </cell>
          <cell r="D17">
            <v>10</v>
          </cell>
          <cell r="F17" t="e">
            <v>#REF!</v>
          </cell>
          <cell r="H17" t="e">
            <v>#REF!</v>
          </cell>
          <cell r="J17" t="str">
            <v>-</v>
          </cell>
        </row>
        <row r="18">
          <cell r="B18" t="str">
            <v>Sub Debt</v>
          </cell>
          <cell r="D18">
            <v>0</v>
          </cell>
          <cell r="F18" t="e">
            <v>#REF!</v>
          </cell>
          <cell r="H18" t="e">
            <v>#REF!</v>
          </cell>
          <cell r="J18" t="str">
            <v>-</v>
          </cell>
        </row>
        <row r="19">
          <cell r="B19" t="str">
            <v>Prime Mgmt Rollover (1)</v>
          </cell>
          <cell r="D19">
            <v>9.9554121999999996</v>
          </cell>
          <cell r="F19" t="e">
            <v>#REF!</v>
          </cell>
          <cell r="H19" t="e">
            <v>#REF!</v>
          </cell>
          <cell r="J19">
            <v>0.27653922777777779</v>
          </cell>
        </row>
        <row r="20">
          <cell r="B20" t="str">
            <v>Affiliated Prime Companies Rollover (2)</v>
          </cell>
          <cell r="D20">
            <v>0</v>
          </cell>
          <cell r="F20" t="e">
            <v>#REF!</v>
          </cell>
          <cell r="H20" t="e">
            <v>#REF!</v>
          </cell>
          <cell r="J20">
            <v>0</v>
          </cell>
        </row>
        <row r="21">
          <cell r="B21" t="str">
            <v>AMCP Equity</v>
          </cell>
          <cell r="D21">
            <v>26.044587800000002</v>
          </cell>
          <cell r="F21" t="e">
            <v>#REF!</v>
          </cell>
          <cell r="H21" t="e">
            <v>#REF!</v>
          </cell>
          <cell r="J21">
            <v>0.72346077222222227</v>
          </cell>
        </row>
        <row r="22">
          <cell r="B22" t="str">
            <v>Total</v>
          </cell>
          <cell r="D22">
            <v>46</v>
          </cell>
          <cell r="F22" t="e">
            <v>#REF!</v>
          </cell>
          <cell r="H22" t="e">
            <v>#REF!</v>
          </cell>
          <cell r="J22">
            <v>1</v>
          </cell>
        </row>
        <row r="24">
          <cell r="F24" t="str">
            <v>Mult. of</v>
          </cell>
          <cell r="H24" t="str">
            <v>Mult. PF EBITDA</v>
          </cell>
          <cell r="J24" t="str">
            <v>%</v>
          </cell>
        </row>
        <row r="25">
          <cell r="B25" t="str">
            <v>Uses:</v>
          </cell>
          <cell r="D25" t="str">
            <v>$</v>
          </cell>
          <cell r="F25" t="str">
            <v>Adj. EBITDA(2)</v>
          </cell>
          <cell r="H25" t="str">
            <v>+ Synergies(3)</v>
          </cell>
          <cell r="J25" t="str">
            <v>of Total</v>
          </cell>
        </row>
        <row r="26">
          <cell r="B26" t="str">
            <v>CHEP Purchase Price</v>
          </cell>
          <cell r="D26" t="e">
            <v>#REF!</v>
          </cell>
          <cell r="F26" t="e">
            <v>#REF!</v>
          </cell>
          <cell r="J26" t="e">
            <v>#REF!</v>
          </cell>
        </row>
        <row r="27">
          <cell r="B27" t="str">
            <v>Prime Purchase Price</v>
          </cell>
          <cell r="D27">
            <v>32.200000000000003</v>
          </cell>
          <cell r="F27">
            <v>6.9537830415371928</v>
          </cell>
          <cell r="J27" t="e">
            <v>#REF!</v>
          </cell>
        </row>
        <row r="28">
          <cell r="B28" t="str">
            <v xml:space="preserve">Prime Affiliated Businesses Purchase Price </v>
          </cell>
          <cell r="D28">
            <v>11</v>
          </cell>
          <cell r="F28">
            <v>3.9285714285714284</v>
          </cell>
          <cell r="J28" t="e">
            <v>#REF!</v>
          </cell>
        </row>
        <row r="29">
          <cell r="B29" t="str">
            <v>Fees &amp; Expenses</v>
          </cell>
          <cell r="D29">
            <v>2.8</v>
          </cell>
          <cell r="F29" t="e">
            <v>#REF!</v>
          </cell>
          <cell r="J29" t="e">
            <v>#REF!</v>
          </cell>
        </row>
        <row r="30">
          <cell r="B30" t="str">
            <v>Total</v>
          </cell>
          <cell r="D30" t="e">
            <v>#REF!</v>
          </cell>
          <cell r="F30" t="e">
            <v>#REF!</v>
          </cell>
          <cell r="H30" t="e">
            <v>#REF!</v>
          </cell>
          <cell r="J30" t="e">
            <v>#REF!</v>
          </cell>
        </row>
        <row r="32">
          <cell r="B32" t="str">
            <v>(1) Assumes Prime's owners rollover approximately $10.0mm of their proceeds.</v>
          </cell>
        </row>
        <row r="33">
          <cell r="B33" t="str">
            <v>(2) Assumes Owners of Prime affiliated businesses rollover approximately $0.0mm of their proceeds.</v>
          </cell>
        </row>
        <row r="34">
          <cell r="B34" t="str">
            <v xml:space="preserve">(2) CHEP, Prime and Prime Affiliates purchase multiples based on respective standalone Adj. EBITDAs. </v>
          </cell>
        </row>
        <row r="35">
          <cell r="B35" t="str">
            <v>(3) Assumes run-rate synergies of $0.0mm.</v>
          </cell>
        </row>
        <row r="37">
          <cell r="B37" t="str">
            <v>Pro Forma Capitalization at Close</v>
          </cell>
        </row>
        <row r="38">
          <cell r="B38" t="str">
            <v>($ in mm)</v>
          </cell>
        </row>
        <row r="39">
          <cell r="F39" t="str">
            <v>Mult. of</v>
          </cell>
          <cell r="H39" t="str">
            <v>%</v>
          </cell>
          <cell r="J39" t="str">
            <v>%</v>
          </cell>
          <cell r="L39" t="str">
            <v>Fully Diluted</v>
          </cell>
        </row>
        <row r="40">
          <cell r="B40" t="str">
            <v>Sources</v>
          </cell>
          <cell r="D40" t="str">
            <v>$</v>
          </cell>
          <cell r="F40" t="str">
            <v>Adj. EBITDA</v>
          </cell>
          <cell r="H40" t="str">
            <v>of Total</v>
          </cell>
          <cell r="J40" t="str">
            <v>Ownership</v>
          </cell>
          <cell r="L40" t="str">
            <v>Ownership</v>
          </cell>
        </row>
        <row r="41">
          <cell r="B41" t="str">
            <v>Senior Debt</v>
          </cell>
          <cell r="D41">
            <v>10</v>
          </cell>
          <cell r="F41" t="e">
            <v>#REF!</v>
          </cell>
          <cell r="H41">
            <v>0.21739130434782608</v>
          </cell>
        </row>
        <row r="42">
          <cell r="B42" t="str">
            <v>Sub. Debt</v>
          </cell>
          <cell r="D42">
            <v>0</v>
          </cell>
          <cell r="F42" t="e">
            <v>#REF!</v>
          </cell>
          <cell r="H42">
            <v>0</v>
          </cell>
        </row>
        <row r="43">
          <cell r="B43" t="str">
            <v>Total Leverage</v>
          </cell>
          <cell r="D43">
            <v>10</v>
          </cell>
          <cell r="F43" t="e">
            <v>#REF!</v>
          </cell>
          <cell r="H43">
            <v>0.21739130434782608</v>
          </cell>
          <cell r="J43">
            <v>0</v>
          </cell>
          <cell r="L43">
            <v>0</v>
          </cell>
        </row>
        <row r="45">
          <cell r="B45" t="str">
            <v>Prime Management Rollover</v>
          </cell>
          <cell r="D45">
            <v>9.9554121999999996</v>
          </cell>
          <cell r="F45" t="e">
            <v>#REF!</v>
          </cell>
          <cell r="H45">
            <v>0.21642200434782607</v>
          </cell>
          <cell r="J45">
            <v>0.27653922777777779</v>
          </cell>
          <cell r="L45">
            <v>0.248885305</v>
          </cell>
        </row>
        <row r="46">
          <cell r="B46" t="str">
            <v>Affiliated Prime Companies Rollover</v>
          </cell>
          <cell r="D46">
            <v>0</v>
          </cell>
          <cell r="F46" t="e">
            <v>#REF!</v>
          </cell>
          <cell r="H46">
            <v>0</v>
          </cell>
          <cell r="J46">
            <v>0</v>
          </cell>
          <cell r="L46">
            <v>0</v>
          </cell>
        </row>
        <row r="47">
          <cell r="B47" t="str">
            <v>AMCP Equity</v>
          </cell>
          <cell r="D47">
            <v>26.044587800000002</v>
          </cell>
          <cell r="F47" t="e">
            <v>#REF!</v>
          </cell>
          <cell r="H47">
            <v>0.56618669130434784</v>
          </cell>
          <cell r="J47">
            <v>0.72346077222222227</v>
          </cell>
          <cell r="L47">
            <v>0.65111469500000008</v>
          </cell>
        </row>
        <row r="48">
          <cell r="B48" t="str">
            <v>Management Option Pool</v>
          </cell>
          <cell r="D48">
            <v>0</v>
          </cell>
          <cell r="F48" t="e">
            <v>#REF!</v>
          </cell>
          <cell r="H48">
            <v>0</v>
          </cell>
          <cell r="J48">
            <v>0</v>
          </cell>
          <cell r="L48">
            <v>0.1</v>
          </cell>
        </row>
        <row r="49">
          <cell r="B49" t="str">
            <v>Total Capitalization</v>
          </cell>
          <cell r="D49">
            <v>46</v>
          </cell>
          <cell r="F49" t="e">
            <v>#REF!</v>
          </cell>
          <cell r="H49">
            <v>1</v>
          </cell>
          <cell r="J49">
            <v>1</v>
          </cell>
          <cell r="L49">
            <v>1.0000000000000002</v>
          </cell>
        </row>
        <row r="51">
          <cell r="B51" t="str">
            <v>Note: Based on CY 2017E projected results.</v>
          </cell>
        </row>
        <row r="52">
          <cell r="B52" t="str">
            <v>1) Adjusted EBITDA</v>
          </cell>
          <cell r="D52" t="e">
            <v>#REF!</v>
          </cell>
        </row>
        <row r="53">
          <cell r="B53" t="str">
            <v>2) PF Synergized EBITDA</v>
          </cell>
          <cell r="D53" t="e">
            <v>#REF!</v>
          </cell>
        </row>
      </sheetData>
      <sheetData sheetId="8">
        <row r="2">
          <cell r="B2" t="str">
            <v>RETURNS SENSITIVITIES: OUTPUTS:</v>
          </cell>
        </row>
        <row r="4">
          <cell r="B4" t="str">
            <v>Year-5 Exit Sensitivity Analysis (IRR / MOIC): Exit Multiple (a)</v>
          </cell>
        </row>
        <row r="6">
          <cell r="B6" t="str">
            <v>Implied</v>
          </cell>
          <cell r="D6" t="str">
            <v>CHEP</v>
          </cell>
          <cell r="F6" t="str">
            <v>Blended</v>
          </cell>
          <cell r="H6" t="str">
            <v>Exit Multiple</v>
          </cell>
        </row>
        <row r="7">
          <cell r="B7" t="str">
            <v>CHEP EV</v>
          </cell>
          <cell r="D7" t="str">
            <v>Multiple</v>
          </cell>
          <cell r="F7" t="str">
            <v>PF Multiple</v>
          </cell>
          <cell r="H7">
            <v>6.5</v>
          </cell>
          <cell r="J7">
            <v>7</v>
          </cell>
          <cell r="K7">
            <v>0</v>
          </cell>
          <cell r="L7">
            <v>7.5</v>
          </cell>
          <cell r="M7">
            <v>0</v>
          </cell>
          <cell r="N7">
            <v>8</v>
          </cell>
          <cell r="O7">
            <v>0</v>
          </cell>
          <cell r="P7">
            <v>8.5</v>
          </cell>
          <cell r="Q7">
            <v>0</v>
          </cell>
          <cell r="R7">
            <v>9</v>
          </cell>
          <cell r="S7">
            <v>0</v>
          </cell>
          <cell r="T7">
            <v>9.5</v>
          </cell>
        </row>
        <row r="8">
          <cell r="B8">
            <v>105</v>
          </cell>
          <cell r="D8">
            <v>8.232485087778576</v>
          </cell>
          <cell r="F8">
            <v>0</v>
          </cell>
          <cell r="H8" t="e">
            <v>#REF!</v>
          </cell>
          <cell r="J8" t="e">
            <v>#REF!</v>
          </cell>
          <cell r="K8">
            <v>0</v>
          </cell>
          <cell r="L8" t="e">
            <v>#REF!</v>
          </cell>
          <cell r="M8">
            <v>0</v>
          </cell>
          <cell r="N8" t="e">
            <v>#REF!</v>
          </cell>
          <cell r="O8">
            <v>0</v>
          </cell>
          <cell r="P8" t="e">
            <v>#REF!</v>
          </cell>
          <cell r="Q8">
            <v>0</v>
          </cell>
          <cell r="R8" t="e">
            <v>#REF!</v>
          </cell>
          <cell r="S8">
            <v>0</v>
          </cell>
          <cell r="T8" t="e">
            <v>#REF!</v>
          </cell>
        </row>
        <row r="9">
          <cell r="B9">
            <v>107.5</v>
          </cell>
          <cell r="D9">
            <v>8.4284966374875907</v>
          </cell>
          <cell r="F9" t="e">
            <v>#REF!</v>
          </cell>
          <cell r="H9" t="e">
            <v>#REF!</v>
          </cell>
          <cell r="J9" t="e">
            <v>#REF!</v>
          </cell>
          <cell r="K9">
            <v>0</v>
          </cell>
          <cell r="L9" t="e">
            <v>#REF!</v>
          </cell>
          <cell r="M9">
            <v>0</v>
          </cell>
          <cell r="N9" t="e">
            <v>#REF!</v>
          </cell>
          <cell r="O9">
            <v>0</v>
          </cell>
          <cell r="P9" t="e">
            <v>#REF!</v>
          </cell>
          <cell r="Q9">
            <v>0</v>
          </cell>
          <cell r="R9" t="e">
            <v>#REF!</v>
          </cell>
          <cell r="S9">
            <v>0</v>
          </cell>
          <cell r="T9" t="e">
            <v>#REF!</v>
          </cell>
        </row>
        <row r="10">
          <cell r="B10">
            <v>110</v>
          </cell>
          <cell r="D10">
            <v>8.6245081871966036</v>
          </cell>
          <cell r="F10" t="e">
            <v>#REF!</v>
          </cell>
          <cell r="H10" t="e">
            <v>#REF!</v>
          </cell>
          <cell r="J10" t="e">
            <v>#REF!</v>
          </cell>
          <cell r="K10">
            <v>0</v>
          </cell>
          <cell r="L10" t="e">
            <v>#REF!</v>
          </cell>
          <cell r="M10">
            <v>0</v>
          </cell>
          <cell r="N10" t="e">
            <v>#REF!</v>
          </cell>
          <cell r="O10">
            <v>0</v>
          </cell>
          <cell r="P10" t="e">
            <v>#REF!</v>
          </cell>
          <cell r="Q10">
            <v>0</v>
          </cell>
          <cell r="R10" t="e">
            <v>#REF!</v>
          </cell>
          <cell r="S10">
            <v>0</v>
          </cell>
          <cell r="T10" t="e">
            <v>#REF!</v>
          </cell>
        </row>
        <row r="11">
          <cell r="B11">
            <v>112.5</v>
          </cell>
          <cell r="D11">
            <v>8.8205197369056183</v>
          </cell>
          <cell r="F11" t="e">
            <v>#REF!</v>
          </cell>
          <cell r="H11" t="e">
            <v>#REF!</v>
          </cell>
          <cell r="J11" t="e">
            <v>#REF!</v>
          </cell>
          <cell r="K11">
            <v>0</v>
          </cell>
          <cell r="L11" t="e">
            <v>#REF!</v>
          </cell>
          <cell r="M11">
            <v>0</v>
          </cell>
          <cell r="N11" t="e">
            <v>#REF!</v>
          </cell>
          <cell r="O11">
            <v>0</v>
          </cell>
          <cell r="P11" t="e">
            <v>#REF!</v>
          </cell>
          <cell r="Q11">
            <v>0</v>
          </cell>
          <cell r="R11" t="e">
            <v>#REF!</v>
          </cell>
          <cell r="S11">
            <v>0</v>
          </cell>
          <cell r="T11" t="e">
            <v>#REF!</v>
          </cell>
        </row>
        <row r="12">
          <cell r="B12">
            <v>115</v>
          </cell>
          <cell r="D12">
            <v>9.0165312866146312</v>
          </cell>
          <cell r="F12" t="e">
            <v>#REF!</v>
          </cell>
          <cell r="H12" t="e">
            <v>#REF!</v>
          </cell>
          <cell r="J12" t="e">
            <v>#REF!</v>
          </cell>
          <cell r="K12">
            <v>0</v>
          </cell>
          <cell r="L12" t="e">
            <v>#REF!</v>
          </cell>
          <cell r="M12">
            <v>0</v>
          </cell>
          <cell r="N12" t="e">
            <v>#REF!</v>
          </cell>
          <cell r="O12">
            <v>0</v>
          </cell>
          <cell r="P12" t="e">
            <v>#REF!</v>
          </cell>
          <cell r="Q12">
            <v>0</v>
          </cell>
          <cell r="R12" t="e">
            <v>#REF!</v>
          </cell>
          <cell r="S12">
            <v>0</v>
          </cell>
          <cell r="T12" t="e">
            <v>#REF!</v>
          </cell>
        </row>
        <row r="13">
          <cell r="B13">
            <v>117.5</v>
          </cell>
          <cell r="D13">
            <v>9.2125428363236459</v>
          </cell>
          <cell r="F13" t="e">
            <v>#REF!</v>
          </cell>
          <cell r="H13" t="e">
            <v>#REF!</v>
          </cell>
          <cell r="J13" t="e">
            <v>#REF!</v>
          </cell>
          <cell r="K13">
            <v>0</v>
          </cell>
          <cell r="L13" t="e">
            <v>#REF!</v>
          </cell>
          <cell r="M13">
            <v>0</v>
          </cell>
          <cell r="N13" t="e">
            <v>#REF!</v>
          </cell>
          <cell r="O13">
            <v>0</v>
          </cell>
          <cell r="P13" t="e">
            <v>#REF!</v>
          </cell>
          <cell r="Q13">
            <v>0</v>
          </cell>
          <cell r="R13" t="e">
            <v>#REF!</v>
          </cell>
          <cell r="S13">
            <v>0</v>
          </cell>
          <cell r="T13" t="e">
            <v>#REF!</v>
          </cell>
        </row>
        <row r="14">
          <cell r="B14">
            <v>120</v>
          </cell>
          <cell r="D14">
            <v>9.4085543860326588</v>
          </cell>
          <cell r="F14" t="e">
            <v>#REF!</v>
          </cell>
          <cell r="H14" t="e">
            <v>#REF!</v>
          </cell>
          <cell r="J14" t="e">
            <v>#REF!</v>
          </cell>
          <cell r="K14">
            <v>0</v>
          </cell>
          <cell r="L14" t="e">
            <v>#REF!</v>
          </cell>
          <cell r="M14">
            <v>0</v>
          </cell>
          <cell r="N14" t="e">
            <v>#REF!</v>
          </cell>
          <cell r="O14">
            <v>0</v>
          </cell>
          <cell r="P14" t="e">
            <v>#REF!</v>
          </cell>
          <cell r="Q14">
            <v>0</v>
          </cell>
          <cell r="R14" t="e">
            <v>#REF!</v>
          </cell>
          <cell r="S14">
            <v>0</v>
          </cell>
          <cell r="T14" t="e">
            <v>#REF!</v>
          </cell>
        </row>
        <row r="16">
          <cell r="B16" t="str">
            <v xml:space="preserve">Implied </v>
          </cell>
          <cell r="D16" t="str">
            <v>CHEP</v>
          </cell>
          <cell r="F16" t="str">
            <v>Blended</v>
          </cell>
          <cell r="H16" t="str">
            <v>Exit Multiple</v>
          </cell>
        </row>
        <row r="17">
          <cell r="B17" t="str">
            <v>EV</v>
          </cell>
          <cell r="D17" t="str">
            <v>Multiple</v>
          </cell>
          <cell r="F17" t="str">
            <v>PF Multiple</v>
          </cell>
          <cell r="H17">
            <v>6.5</v>
          </cell>
          <cell r="J17">
            <v>7</v>
          </cell>
          <cell r="K17">
            <v>0</v>
          </cell>
          <cell r="L17">
            <v>7.5</v>
          </cell>
          <cell r="M17">
            <v>0</v>
          </cell>
          <cell r="N17">
            <v>8</v>
          </cell>
          <cell r="O17">
            <v>0</v>
          </cell>
          <cell r="P17">
            <v>8.5</v>
          </cell>
          <cell r="Q17">
            <v>0</v>
          </cell>
          <cell r="R17">
            <v>9</v>
          </cell>
          <cell r="S17">
            <v>0</v>
          </cell>
          <cell r="T17">
            <v>9.5</v>
          </cell>
        </row>
        <row r="18">
          <cell r="B18">
            <v>105</v>
          </cell>
          <cell r="D18">
            <v>8.232485087778576</v>
          </cell>
          <cell r="F18">
            <v>0</v>
          </cell>
          <cell r="H18" t="e">
            <v>#REF!</v>
          </cell>
          <cell r="J18" t="e">
            <v>#REF!</v>
          </cell>
          <cell r="K18">
            <v>0</v>
          </cell>
          <cell r="L18" t="e">
            <v>#REF!</v>
          </cell>
          <cell r="M18">
            <v>0</v>
          </cell>
          <cell r="N18" t="e">
            <v>#REF!</v>
          </cell>
          <cell r="O18">
            <v>0</v>
          </cell>
          <cell r="P18" t="e">
            <v>#REF!</v>
          </cell>
          <cell r="Q18">
            <v>0</v>
          </cell>
          <cell r="R18" t="e">
            <v>#REF!</v>
          </cell>
          <cell r="S18">
            <v>0</v>
          </cell>
          <cell r="T18" t="e">
            <v>#REF!</v>
          </cell>
        </row>
        <row r="19">
          <cell r="B19">
            <v>107.5</v>
          </cell>
          <cell r="D19">
            <v>8.4284966374875907</v>
          </cell>
          <cell r="F19" t="e">
            <v>#REF!</v>
          </cell>
          <cell r="H19" t="e">
            <v>#REF!</v>
          </cell>
          <cell r="J19" t="e">
            <v>#REF!</v>
          </cell>
          <cell r="K19">
            <v>0</v>
          </cell>
          <cell r="L19" t="e">
            <v>#REF!</v>
          </cell>
          <cell r="M19">
            <v>0</v>
          </cell>
          <cell r="N19" t="e">
            <v>#REF!</v>
          </cell>
          <cell r="O19">
            <v>0</v>
          </cell>
          <cell r="P19" t="e">
            <v>#REF!</v>
          </cell>
          <cell r="Q19">
            <v>0</v>
          </cell>
          <cell r="R19" t="e">
            <v>#REF!</v>
          </cell>
          <cell r="S19">
            <v>0</v>
          </cell>
          <cell r="T19" t="e">
            <v>#REF!</v>
          </cell>
        </row>
        <row r="20">
          <cell r="B20">
            <v>110</v>
          </cell>
          <cell r="D20">
            <v>8.6245081871966036</v>
          </cell>
          <cell r="F20" t="e">
            <v>#REF!</v>
          </cell>
          <cell r="H20" t="e">
            <v>#REF!</v>
          </cell>
          <cell r="J20" t="e">
            <v>#REF!</v>
          </cell>
          <cell r="K20">
            <v>0</v>
          </cell>
          <cell r="L20" t="e">
            <v>#REF!</v>
          </cell>
          <cell r="M20">
            <v>0</v>
          </cell>
          <cell r="N20" t="e">
            <v>#REF!</v>
          </cell>
          <cell r="O20">
            <v>0</v>
          </cell>
          <cell r="P20" t="e">
            <v>#REF!</v>
          </cell>
          <cell r="Q20">
            <v>0</v>
          </cell>
          <cell r="R20" t="e">
            <v>#REF!</v>
          </cell>
          <cell r="S20">
            <v>0</v>
          </cell>
          <cell r="T20" t="e">
            <v>#REF!</v>
          </cell>
        </row>
        <row r="21">
          <cell r="B21">
            <v>112.5</v>
          </cell>
          <cell r="D21">
            <v>8.8205197369056183</v>
          </cell>
          <cell r="F21" t="e">
            <v>#REF!</v>
          </cell>
          <cell r="H21" t="e">
            <v>#REF!</v>
          </cell>
          <cell r="J21" t="e">
            <v>#REF!</v>
          </cell>
          <cell r="K21">
            <v>0</v>
          </cell>
          <cell r="L21" t="e">
            <v>#REF!</v>
          </cell>
          <cell r="M21">
            <v>0</v>
          </cell>
          <cell r="N21" t="e">
            <v>#REF!</v>
          </cell>
          <cell r="O21">
            <v>0</v>
          </cell>
          <cell r="P21" t="e">
            <v>#REF!</v>
          </cell>
          <cell r="Q21">
            <v>0</v>
          </cell>
          <cell r="R21" t="e">
            <v>#REF!</v>
          </cell>
          <cell r="S21">
            <v>0</v>
          </cell>
          <cell r="T21" t="e">
            <v>#REF!</v>
          </cell>
        </row>
        <row r="22">
          <cell r="B22">
            <v>115</v>
          </cell>
          <cell r="D22">
            <v>9.0165312866146312</v>
          </cell>
          <cell r="F22" t="e">
            <v>#REF!</v>
          </cell>
          <cell r="H22" t="e">
            <v>#REF!</v>
          </cell>
          <cell r="J22" t="e">
            <v>#REF!</v>
          </cell>
          <cell r="K22">
            <v>0</v>
          </cell>
          <cell r="L22" t="e">
            <v>#REF!</v>
          </cell>
          <cell r="M22">
            <v>0</v>
          </cell>
          <cell r="N22" t="e">
            <v>#REF!</v>
          </cell>
          <cell r="O22">
            <v>0</v>
          </cell>
          <cell r="P22" t="e">
            <v>#REF!</v>
          </cell>
          <cell r="Q22">
            <v>0</v>
          </cell>
          <cell r="R22" t="e">
            <v>#REF!</v>
          </cell>
          <cell r="S22">
            <v>0</v>
          </cell>
          <cell r="T22" t="e">
            <v>#REF!</v>
          </cell>
        </row>
        <row r="23">
          <cell r="B23">
            <v>117.5</v>
          </cell>
          <cell r="D23">
            <v>9.2125428363236459</v>
          </cell>
          <cell r="F23" t="e">
            <v>#REF!</v>
          </cell>
          <cell r="H23" t="e">
            <v>#REF!</v>
          </cell>
          <cell r="J23" t="e">
            <v>#REF!</v>
          </cell>
          <cell r="K23">
            <v>0</v>
          </cell>
          <cell r="L23" t="e">
            <v>#REF!</v>
          </cell>
          <cell r="M23">
            <v>0</v>
          </cell>
          <cell r="N23" t="e">
            <v>#REF!</v>
          </cell>
          <cell r="O23">
            <v>0</v>
          </cell>
          <cell r="P23" t="e">
            <v>#REF!</v>
          </cell>
          <cell r="Q23">
            <v>0</v>
          </cell>
          <cell r="R23" t="e">
            <v>#REF!</v>
          </cell>
          <cell r="S23">
            <v>0</v>
          </cell>
          <cell r="T23" t="e">
            <v>#REF!</v>
          </cell>
        </row>
        <row r="24">
          <cell r="B24">
            <v>120</v>
          </cell>
          <cell r="D24">
            <v>9.4085543860326588</v>
          </cell>
          <cell r="F24" t="e">
            <v>#REF!</v>
          </cell>
          <cell r="H24" t="e">
            <v>#REF!</v>
          </cell>
          <cell r="J24" t="e">
            <v>#REF!</v>
          </cell>
          <cell r="K24">
            <v>0</v>
          </cell>
          <cell r="L24" t="e">
            <v>#REF!</v>
          </cell>
          <cell r="M24">
            <v>0</v>
          </cell>
          <cell r="N24" t="e">
            <v>#REF!</v>
          </cell>
          <cell r="O24">
            <v>0</v>
          </cell>
          <cell r="P24" t="e">
            <v>#REF!</v>
          </cell>
          <cell r="Q24">
            <v>0</v>
          </cell>
          <cell r="R24" t="e">
            <v>#REF!</v>
          </cell>
          <cell r="S24">
            <v>0</v>
          </cell>
          <cell r="T24" t="e">
            <v>#REF!</v>
          </cell>
        </row>
        <row r="26">
          <cell r="B26" t="str">
            <v>Year-5 Exit Sensitivity Analysis (IRR / MOIC): Total Leverage (b)</v>
          </cell>
        </row>
        <row r="28">
          <cell r="B28" t="str">
            <v xml:space="preserve">Implied </v>
          </cell>
          <cell r="D28" t="str">
            <v>CHEP</v>
          </cell>
          <cell r="F28" t="str">
            <v>Blended</v>
          </cell>
          <cell r="H28" t="str">
            <v>Total Leverage Multiple</v>
          </cell>
        </row>
        <row r="29">
          <cell r="B29" t="str">
            <v>EV</v>
          </cell>
          <cell r="D29" t="str">
            <v>Multiple</v>
          </cell>
          <cell r="F29" t="str">
            <v>PF Multiple</v>
          </cell>
          <cell r="H29">
            <v>2.75</v>
          </cell>
          <cell r="J29">
            <v>3</v>
          </cell>
          <cell r="K29">
            <v>0</v>
          </cell>
          <cell r="L29">
            <v>3.25</v>
          </cell>
          <cell r="M29">
            <v>0</v>
          </cell>
          <cell r="N29">
            <v>3.5</v>
          </cell>
          <cell r="O29">
            <v>0</v>
          </cell>
          <cell r="P29">
            <v>3.75</v>
          </cell>
          <cell r="Q29">
            <v>0</v>
          </cell>
          <cell r="R29">
            <v>4</v>
          </cell>
          <cell r="S29">
            <v>0</v>
          </cell>
          <cell r="T29">
            <v>4.25</v>
          </cell>
        </row>
        <row r="30">
          <cell r="B30">
            <v>105</v>
          </cell>
          <cell r="D30">
            <v>8.232485087778576</v>
          </cell>
          <cell r="F30">
            <v>0</v>
          </cell>
          <cell r="H30" t="e">
            <v>#REF!</v>
          </cell>
          <cell r="J30" t="e">
            <v>#REF!</v>
          </cell>
          <cell r="K30">
            <v>0</v>
          </cell>
          <cell r="L30" t="e">
            <v>#REF!</v>
          </cell>
          <cell r="M30">
            <v>0</v>
          </cell>
          <cell r="N30" t="e">
            <v>#REF!</v>
          </cell>
          <cell r="O30">
            <v>0</v>
          </cell>
          <cell r="P30" t="e">
            <v>#REF!</v>
          </cell>
          <cell r="Q30">
            <v>0</v>
          </cell>
          <cell r="R30" t="e">
            <v>#REF!</v>
          </cell>
          <cell r="S30">
            <v>0</v>
          </cell>
          <cell r="T30" t="e">
            <v>#REF!</v>
          </cell>
        </row>
        <row r="31">
          <cell r="B31">
            <v>107.5</v>
          </cell>
          <cell r="D31">
            <v>8.4284966374875907</v>
          </cell>
          <cell r="F31" t="e">
            <v>#REF!</v>
          </cell>
          <cell r="H31" t="e">
            <v>#REF!</v>
          </cell>
          <cell r="J31" t="e">
            <v>#REF!</v>
          </cell>
          <cell r="K31">
            <v>0</v>
          </cell>
          <cell r="L31" t="e">
            <v>#REF!</v>
          </cell>
          <cell r="M31">
            <v>0</v>
          </cell>
          <cell r="N31" t="e">
            <v>#REF!</v>
          </cell>
          <cell r="O31">
            <v>0</v>
          </cell>
          <cell r="P31" t="e">
            <v>#REF!</v>
          </cell>
          <cell r="Q31">
            <v>0</v>
          </cell>
          <cell r="R31" t="e">
            <v>#REF!</v>
          </cell>
          <cell r="S31">
            <v>0</v>
          </cell>
          <cell r="T31" t="e">
            <v>#REF!</v>
          </cell>
        </row>
        <row r="32">
          <cell r="B32">
            <v>110</v>
          </cell>
          <cell r="D32">
            <v>8.6245081871966036</v>
          </cell>
          <cell r="F32" t="e">
            <v>#REF!</v>
          </cell>
          <cell r="H32" t="e">
            <v>#REF!</v>
          </cell>
          <cell r="J32" t="e">
            <v>#REF!</v>
          </cell>
          <cell r="K32">
            <v>0</v>
          </cell>
          <cell r="L32" t="e">
            <v>#REF!</v>
          </cell>
          <cell r="M32">
            <v>0</v>
          </cell>
          <cell r="N32" t="e">
            <v>#REF!</v>
          </cell>
          <cell r="O32">
            <v>0</v>
          </cell>
          <cell r="P32" t="e">
            <v>#REF!</v>
          </cell>
          <cell r="Q32">
            <v>0</v>
          </cell>
          <cell r="R32" t="e">
            <v>#REF!</v>
          </cell>
          <cell r="S32">
            <v>0</v>
          </cell>
          <cell r="T32" t="e">
            <v>#REF!</v>
          </cell>
        </row>
        <row r="33">
          <cell r="B33">
            <v>112.5</v>
          </cell>
          <cell r="D33">
            <v>8.8205197369056183</v>
          </cell>
          <cell r="F33" t="e">
            <v>#REF!</v>
          </cell>
          <cell r="H33" t="e">
            <v>#REF!</v>
          </cell>
          <cell r="J33" t="e">
            <v>#REF!</v>
          </cell>
          <cell r="K33">
            <v>0</v>
          </cell>
          <cell r="L33" t="e">
            <v>#REF!</v>
          </cell>
          <cell r="M33">
            <v>0</v>
          </cell>
          <cell r="N33" t="e">
            <v>#REF!</v>
          </cell>
          <cell r="O33">
            <v>0</v>
          </cell>
          <cell r="P33" t="e">
            <v>#REF!</v>
          </cell>
          <cell r="Q33">
            <v>0</v>
          </cell>
          <cell r="R33" t="e">
            <v>#REF!</v>
          </cell>
          <cell r="S33">
            <v>0</v>
          </cell>
          <cell r="T33" t="e">
            <v>#REF!</v>
          </cell>
        </row>
        <row r="34">
          <cell r="B34">
            <v>115</v>
          </cell>
          <cell r="D34">
            <v>9.0165312866146312</v>
          </cell>
          <cell r="F34" t="e">
            <v>#REF!</v>
          </cell>
          <cell r="H34" t="e">
            <v>#REF!</v>
          </cell>
          <cell r="J34" t="e">
            <v>#REF!</v>
          </cell>
          <cell r="K34">
            <v>0</v>
          </cell>
          <cell r="L34" t="e">
            <v>#REF!</v>
          </cell>
          <cell r="M34">
            <v>0</v>
          </cell>
          <cell r="N34" t="e">
            <v>#REF!</v>
          </cell>
          <cell r="O34">
            <v>0</v>
          </cell>
          <cell r="P34" t="e">
            <v>#REF!</v>
          </cell>
          <cell r="Q34">
            <v>0</v>
          </cell>
          <cell r="R34" t="e">
            <v>#REF!</v>
          </cell>
          <cell r="S34">
            <v>0</v>
          </cell>
          <cell r="T34" t="e">
            <v>#REF!</v>
          </cell>
        </row>
        <row r="35">
          <cell r="B35">
            <v>117.5</v>
          </cell>
          <cell r="D35">
            <v>9.2125428363236459</v>
          </cell>
          <cell r="F35" t="e">
            <v>#REF!</v>
          </cell>
          <cell r="H35" t="e">
            <v>#REF!</v>
          </cell>
          <cell r="J35" t="e">
            <v>#REF!</v>
          </cell>
          <cell r="K35">
            <v>0</v>
          </cell>
          <cell r="L35" t="e">
            <v>#REF!</v>
          </cell>
          <cell r="M35">
            <v>0</v>
          </cell>
          <cell r="N35" t="e">
            <v>#REF!</v>
          </cell>
          <cell r="O35">
            <v>0</v>
          </cell>
          <cell r="P35" t="e">
            <v>#REF!</v>
          </cell>
          <cell r="Q35">
            <v>0</v>
          </cell>
          <cell r="R35" t="e">
            <v>#REF!</v>
          </cell>
          <cell r="S35">
            <v>0</v>
          </cell>
          <cell r="T35" t="e">
            <v>#REF!</v>
          </cell>
        </row>
        <row r="36">
          <cell r="B36">
            <v>120</v>
          </cell>
          <cell r="D36">
            <v>9.4085543860326588</v>
          </cell>
          <cell r="F36" t="e">
            <v>#REF!</v>
          </cell>
          <cell r="H36" t="e">
            <v>#REF!</v>
          </cell>
          <cell r="J36" t="e">
            <v>#REF!</v>
          </cell>
          <cell r="K36">
            <v>0</v>
          </cell>
          <cell r="L36" t="e">
            <v>#REF!</v>
          </cell>
          <cell r="M36">
            <v>0</v>
          </cell>
          <cell r="N36" t="e">
            <v>#REF!</v>
          </cell>
          <cell r="O36">
            <v>0</v>
          </cell>
          <cell r="P36" t="e">
            <v>#REF!</v>
          </cell>
          <cell r="Q36">
            <v>0</v>
          </cell>
          <cell r="R36" t="e">
            <v>#REF!</v>
          </cell>
          <cell r="S36">
            <v>0</v>
          </cell>
          <cell r="T36" t="e">
            <v>#REF!</v>
          </cell>
        </row>
        <row r="38">
          <cell r="B38" t="str">
            <v xml:space="preserve">Implied </v>
          </cell>
          <cell r="D38" t="str">
            <v>CHEP</v>
          </cell>
          <cell r="F38" t="str">
            <v>Blended</v>
          </cell>
          <cell r="H38" t="str">
            <v>Total Leverage Multiple</v>
          </cell>
        </row>
        <row r="39">
          <cell r="B39" t="str">
            <v>EV</v>
          </cell>
          <cell r="D39" t="str">
            <v>Multiple</v>
          </cell>
          <cell r="F39" t="str">
            <v>PF Multiple</v>
          </cell>
          <cell r="H39">
            <v>2.75</v>
          </cell>
          <cell r="J39">
            <v>3</v>
          </cell>
          <cell r="K39">
            <v>0</v>
          </cell>
          <cell r="L39">
            <v>3.25</v>
          </cell>
          <cell r="M39">
            <v>0</v>
          </cell>
          <cell r="N39">
            <v>3.5</v>
          </cell>
          <cell r="O39">
            <v>0</v>
          </cell>
          <cell r="P39">
            <v>3.75</v>
          </cell>
          <cell r="Q39">
            <v>0</v>
          </cell>
          <cell r="R39">
            <v>4</v>
          </cell>
          <cell r="S39">
            <v>0</v>
          </cell>
          <cell r="T39">
            <v>4.25</v>
          </cell>
        </row>
        <row r="40">
          <cell r="B40">
            <v>105</v>
          </cell>
          <cell r="D40">
            <v>8.232485087778576</v>
          </cell>
          <cell r="F40">
            <v>0</v>
          </cell>
          <cell r="H40" t="e">
            <v>#REF!</v>
          </cell>
          <cell r="J40" t="e">
            <v>#REF!</v>
          </cell>
          <cell r="K40">
            <v>0</v>
          </cell>
          <cell r="L40" t="e">
            <v>#REF!</v>
          </cell>
          <cell r="M40">
            <v>0</v>
          </cell>
          <cell r="N40" t="e">
            <v>#REF!</v>
          </cell>
          <cell r="O40">
            <v>0</v>
          </cell>
          <cell r="P40" t="e">
            <v>#REF!</v>
          </cell>
          <cell r="Q40">
            <v>0</v>
          </cell>
          <cell r="R40" t="e">
            <v>#REF!</v>
          </cell>
          <cell r="S40">
            <v>0</v>
          </cell>
          <cell r="T40" t="e">
            <v>#REF!</v>
          </cell>
        </row>
        <row r="41">
          <cell r="B41">
            <v>107.5</v>
          </cell>
          <cell r="D41">
            <v>8.4284966374875907</v>
          </cell>
          <cell r="F41" t="e">
            <v>#REF!</v>
          </cell>
          <cell r="H41" t="e">
            <v>#REF!</v>
          </cell>
          <cell r="J41" t="e">
            <v>#REF!</v>
          </cell>
          <cell r="K41">
            <v>0</v>
          </cell>
          <cell r="L41" t="e">
            <v>#REF!</v>
          </cell>
          <cell r="M41">
            <v>0</v>
          </cell>
          <cell r="N41" t="e">
            <v>#REF!</v>
          </cell>
          <cell r="O41">
            <v>0</v>
          </cell>
          <cell r="P41" t="e">
            <v>#REF!</v>
          </cell>
          <cell r="Q41">
            <v>0</v>
          </cell>
          <cell r="R41" t="e">
            <v>#REF!</v>
          </cell>
          <cell r="S41">
            <v>0</v>
          </cell>
          <cell r="T41" t="e">
            <v>#REF!</v>
          </cell>
        </row>
        <row r="42">
          <cell r="B42">
            <v>110</v>
          </cell>
          <cell r="D42">
            <v>8.6245081871966036</v>
          </cell>
          <cell r="F42" t="e">
            <v>#REF!</v>
          </cell>
          <cell r="H42" t="e">
            <v>#REF!</v>
          </cell>
          <cell r="J42" t="e">
            <v>#REF!</v>
          </cell>
          <cell r="K42">
            <v>0</v>
          </cell>
          <cell r="L42" t="e">
            <v>#REF!</v>
          </cell>
          <cell r="M42">
            <v>0</v>
          </cell>
          <cell r="N42" t="e">
            <v>#REF!</v>
          </cell>
          <cell r="O42">
            <v>0</v>
          </cell>
          <cell r="P42" t="e">
            <v>#REF!</v>
          </cell>
          <cell r="Q42">
            <v>0</v>
          </cell>
          <cell r="R42" t="e">
            <v>#REF!</v>
          </cell>
          <cell r="S42">
            <v>0</v>
          </cell>
          <cell r="T42" t="e">
            <v>#REF!</v>
          </cell>
        </row>
        <row r="43">
          <cell r="B43">
            <v>112.5</v>
          </cell>
          <cell r="D43">
            <v>8.8205197369056183</v>
          </cell>
          <cell r="F43" t="e">
            <v>#REF!</v>
          </cell>
          <cell r="H43" t="e">
            <v>#REF!</v>
          </cell>
          <cell r="J43" t="e">
            <v>#REF!</v>
          </cell>
          <cell r="K43">
            <v>0</v>
          </cell>
          <cell r="L43" t="e">
            <v>#REF!</v>
          </cell>
          <cell r="M43">
            <v>0</v>
          </cell>
          <cell r="N43" t="e">
            <v>#REF!</v>
          </cell>
          <cell r="O43">
            <v>0</v>
          </cell>
          <cell r="P43" t="e">
            <v>#REF!</v>
          </cell>
          <cell r="Q43">
            <v>0</v>
          </cell>
          <cell r="R43" t="e">
            <v>#REF!</v>
          </cell>
          <cell r="S43">
            <v>0</v>
          </cell>
          <cell r="T43" t="e">
            <v>#REF!</v>
          </cell>
        </row>
        <row r="44">
          <cell r="B44">
            <v>115</v>
          </cell>
          <cell r="D44">
            <v>9.0165312866146312</v>
          </cell>
          <cell r="F44" t="e">
            <v>#REF!</v>
          </cell>
          <cell r="H44" t="e">
            <v>#REF!</v>
          </cell>
          <cell r="J44" t="e">
            <v>#REF!</v>
          </cell>
          <cell r="K44">
            <v>0</v>
          </cell>
          <cell r="L44" t="e">
            <v>#REF!</v>
          </cell>
          <cell r="M44">
            <v>0</v>
          </cell>
          <cell r="N44" t="e">
            <v>#REF!</v>
          </cell>
          <cell r="O44">
            <v>0</v>
          </cell>
          <cell r="P44" t="e">
            <v>#REF!</v>
          </cell>
          <cell r="Q44">
            <v>0</v>
          </cell>
          <cell r="R44" t="e">
            <v>#REF!</v>
          </cell>
          <cell r="S44">
            <v>0</v>
          </cell>
          <cell r="T44" t="e">
            <v>#REF!</v>
          </cell>
        </row>
        <row r="45">
          <cell r="B45">
            <v>117.5</v>
          </cell>
          <cell r="D45">
            <v>9.2125428363236459</v>
          </cell>
          <cell r="F45" t="e">
            <v>#REF!</v>
          </cell>
          <cell r="H45" t="e">
            <v>#REF!</v>
          </cell>
          <cell r="J45" t="e">
            <v>#REF!</v>
          </cell>
          <cell r="K45">
            <v>0</v>
          </cell>
          <cell r="L45" t="e">
            <v>#REF!</v>
          </cell>
          <cell r="M45">
            <v>0</v>
          </cell>
          <cell r="N45" t="e">
            <v>#REF!</v>
          </cell>
          <cell r="O45">
            <v>0</v>
          </cell>
          <cell r="P45" t="e">
            <v>#REF!</v>
          </cell>
          <cell r="Q45">
            <v>0</v>
          </cell>
          <cell r="R45" t="e">
            <v>#REF!</v>
          </cell>
          <cell r="S45">
            <v>0</v>
          </cell>
          <cell r="T45" t="e">
            <v>#REF!</v>
          </cell>
        </row>
        <row r="46">
          <cell r="B46">
            <v>120</v>
          </cell>
          <cell r="D46">
            <v>9.4085543860326588</v>
          </cell>
          <cell r="F46" t="e">
            <v>#REF!</v>
          </cell>
          <cell r="H46" t="e">
            <v>#REF!</v>
          </cell>
          <cell r="J46" t="e">
            <v>#REF!</v>
          </cell>
          <cell r="K46">
            <v>0</v>
          </cell>
          <cell r="L46" t="e">
            <v>#REF!</v>
          </cell>
          <cell r="M46">
            <v>0</v>
          </cell>
          <cell r="N46" t="e">
            <v>#REF!</v>
          </cell>
          <cell r="O46">
            <v>0</v>
          </cell>
          <cell r="P46" t="e">
            <v>#REF!</v>
          </cell>
          <cell r="Q46">
            <v>0</v>
          </cell>
          <cell r="R46" t="e">
            <v>#REF!</v>
          </cell>
          <cell r="S46">
            <v>0</v>
          </cell>
          <cell r="T46" t="e">
            <v>#REF!</v>
          </cell>
        </row>
        <row r="48">
          <cell r="B48" t="str">
            <v>(a)  Sensitivity analysis assumes 1.35x total leverage.</v>
          </cell>
        </row>
        <row r="49">
          <cell r="B49" t="str">
            <v>(b)  Sensitivity analysis assumes an exit multiple of 8.0x LTM EBITDA.</v>
          </cell>
        </row>
        <row r="50">
          <cell r="B50" t="str">
            <v>Note: Assumes Prime is acquired for $32.2mm and Prime affiliated companies are acquired for $11.0mm</v>
          </cell>
        </row>
      </sheetData>
      <sheetData sheetId="9">
        <row r="1">
          <cell r="A1" t="str">
            <v>EBITDA WATERFALL</v>
          </cell>
        </row>
        <row r="2">
          <cell r="X2" t="str">
            <v>CHEP</v>
          </cell>
          <cell r="Y2" t="e">
            <v>#REF!</v>
          </cell>
          <cell r="Z2">
            <v>115</v>
          </cell>
        </row>
        <row r="3">
          <cell r="X3" t="str">
            <v>PWC</v>
          </cell>
          <cell r="Y3">
            <v>32.200000000000003</v>
          </cell>
        </row>
        <row r="4">
          <cell r="X4" t="str">
            <v>Affiliated Businesses</v>
          </cell>
          <cell r="Y4">
            <v>11</v>
          </cell>
        </row>
        <row r="7">
          <cell r="X7" t="str">
            <v>Calendarization:</v>
          </cell>
        </row>
        <row r="8">
          <cell r="X8">
            <v>2017</v>
          </cell>
          <cell r="Y8">
            <v>0</v>
          </cell>
        </row>
        <row r="9">
          <cell r="X9">
            <v>2018</v>
          </cell>
          <cell r="Y9">
            <v>1</v>
          </cell>
        </row>
        <row r="10">
          <cell r="D10" t="str">
            <v>FISCAL YEAR ENDED JUNE 30</v>
          </cell>
        </row>
        <row r="12">
          <cell r="D12" t="str">
            <v>2017A</v>
          </cell>
          <cell r="J12" t="str">
            <v>2018E</v>
          </cell>
        </row>
        <row r="14">
          <cell r="A14" t="str">
            <v>($ in millions)</v>
          </cell>
          <cell r="C14" t="str">
            <v>AMCP/TAG/PEPI</v>
          </cell>
          <cell r="D14" t="str">
            <v>AMCP</v>
          </cell>
          <cell r="H14" t="str">
            <v>AMCP</v>
          </cell>
          <cell r="J14" t="str">
            <v>AMCP</v>
          </cell>
          <cell r="N14" t="str">
            <v>AMCP</v>
          </cell>
          <cell r="P14" t="str">
            <v>LTM June 2018</v>
          </cell>
          <cell r="T14" t="str">
            <v>EV Multiple - AMCP Adj.</v>
          </cell>
        </row>
        <row r="15">
          <cell r="C15" t="str">
            <v>% Adj.</v>
          </cell>
          <cell r="D15" t="str">
            <v>Unadj.</v>
          </cell>
          <cell r="F15" t="str">
            <v xml:space="preserve">AMCP </v>
          </cell>
          <cell r="H15" t="str">
            <v>Adj.</v>
          </cell>
          <cell r="J15" t="str">
            <v>Unadj.</v>
          </cell>
          <cell r="L15" t="str">
            <v xml:space="preserve">AMCP </v>
          </cell>
          <cell r="N15" t="str">
            <v>Adj.</v>
          </cell>
          <cell r="P15" t="str">
            <v>AMCP Unadj.</v>
          </cell>
          <cell r="R15" t="str">
            <v>AMCP Adj.</v>
          </cell>
          <cell r="T15" t="str">
            <v>CHEP EV: $105MM</v>
          </cell>
          <cell r="V15" t="str">
            <v>CHEP EV: $115MM</v>
          </cell>
        </row>
        <row r="17">
          <cell r="A17" t="str">
            <v>CHEP RECYCLED:</v>
          </cell>
        </row>
        <row r="19">
          <cell r="A19" t="str">
            <v>CHEP Unadjusted EBITDA</v>
          </cell>
          <cell r="D19">
            <v>7.0625377825252755</v>
          </cell>
          <cell r="H19">
            <v>7.0625377825252755</v>
          </cell>
          <cell r="J19">
            <v>8.1431232340993933</v>
          </cell>
          <cell r="N19">
            <v>8.1431232340993933</v>
          </cell>
          <cell r="P19">
            <v>8.1431232340993933</v>
          </cell>
          <cell r="R19">
            <v>8.1431232340993933</v>
          </cell>
        </row>
        <row r="20">
          <cell r="A20" t="str">
            <v>% Margin</v>
          </cell>
          <cell r="D20">
            <v>1.7325456972871696E-2</v>
          </cell>
          <cell r="H20">
            <v>1.7325456972871696E-2</v>
          </cell>
          <cell r="J20" t="e">
            <v>#VALUE!</v>
          </cell>
          <cell r="N20" t="e">
            <v>#VALUE!</v>
          </cell>
          <cell r="P20" t="e">
            <v>#VALUE!</v>
          </cell>
          <cell r="R20" t="e">
            <v>#VALUE!</v>
          </cell>
        </row>
        <row r="22">
          <cell r="A22" t="str">
            <v>Estimated LTM Roll-forward Through June '18</v>
          </cell>
          <cell r="C22">
            <v>1</v>
          </cell>
          <cell r="J22">
            <v>0.4</v>
          </cell>
          <cell r="L22">
            <v>1</v>
          </cell>
          <cell r="N22">
            <v>0.4</v>
          </cell>
          <cell r="P22">
            <v>0.4</v>
          </cell>
          <cell r="R22">
            <v>0.4</v>
          </cell>
        </row>
        <row r="23">
          <cell r="A23" t="str">
            <v>Non-Recurring Items:</v>
          </cell>
        </row>
        <row r="25">
          <cell r="A25" t="str">
            <v>California Wage Legislation</v>
          </cell>
          <cell r="C25">
            <v>1</v>
          </cell>
          <cell r="D25">
            <v>0.5</v>
          </cell>
          <cell r="F25">
            <v>1</v>
          </cell>
          <cell r="H25">
            <v>0.5</v>
          </cell>
          <cell r="J25">
            <v>1</v>
          </cell>
          <cell r="L25">
            <v>1</v>
          </cell>
          <cell r="N25">
            <v>1</v>
          </cell>
          <cell r="P25">
            <v>1</v>
          </cell>
          <cell r="R25">
            <v>1</v>
          </cell>
        </row>
        <row r="26">
          <cell r="A26" t="str">
            <v>Gains / Losses on Sale of Assets</v>
          </cell>
          <cell r="C26">
            <v>1</v>
          </cell>
          <cell r="D26">
            <v>7.3904970000000042E-2</v>
          </cell>
          <cell r="F26">
            <v>1</v>
          </cell>
          <cell r="H26">
            <v>7.3904970000000042E-2</v>
          </cell>
          <cell r="J26">
            <v>0.10957054999999849</v>
          </cell>
          <cell r="L26">
            <v>1</v>
          </cell>
          <cell r="N26">
            <v>0.10957054999999849</v>
          </cell>
          <cell r="P26">
            <v>0.10957054999999849</v>
          </cell>
          <cell r="R26">
            <v>0.10957054999999849</v>
          </cell>
        </row>
        <row r="27">
          <cell r="A27" t="str">
            <v>Antioch Workers Comp Claim</v>
          </cell>
          <cell r="C27">
            <v>1</v>
          </cell>
          <cell r="D27">
            <v>0</v>
          </cell>
          <cell r="F27">
            <v>1</v>
          </cell>
          <cell r="H27">
            <v>0</v>
          </cell>
          <cell r="J27">
            <v>0.5</v>
          </cell>
          <cell r="L27">
            <v>1</v>
          </cell>
          <cell r="N27">
            <v>0.5</v>
          </cell>
          <cell r="P27">
            <v>0.5</v>
          </cell>
          <cell r="R27">
            <v>0.5</v>
          </cell>
        </row>
        <row r="28">
          <cell r="R28">
            <v>0</v>
          </cell>
        </row>
        <row r="29">
          <cell r="A29" t="str">
            <v>Out of Period Adjustments:</v>
          </cell>
        </row>
        <row r="30">
          <cell r="P30">
            <v>0</v>
          </cell>
          <cell r="R30">
            <v>0</v>
          </cell>
        </row>
        <row r="31">
          <cell r="A31" t="str">
            <v>THD AP adjustment</v>
          </cell>
          <cell r="C31">
            <v>1</v>
          </cell>
          <cell r="D31">
            <v>0</v>
          </cell>
          <cell r="F31">
            <v>1</v>
          </cell>
          <cell r="H31">
            <v>0</v>
          </cell>
          <cell r="J31">
            <v>0.33</v>
          </cell>
          <cell r="L31">
            <v>1</v>
          </cell>
          <cell r="N31">
            <v>0.33</v>
          </cell>
          <cell r="P31">
            <v>0.33</v>
          </cell>
          <cell r="R31">
            <v>0.33</v>
          </cell>
        </row>
        <row r="32">
          <cell r="A32" t="str">
            <v>Sales and Use Tax / VAT</v>
          </cell>
          <cell r="C32">
            <v>1</v>
          </cell>
          <cell r="D32">
            <v>-0.35699999999999998</v>
          </cell>
          <cell r="F32">
            <v>1</v>
          </cell>
          <cell r="H32">
            <v>-0.35699999999999998</v>
          </cell>
          <cell r="J32">
            <v>-0.35699999999999998</v>
          </cell>
          <cell r="L32">
            <v>1</v>
          </cell>
          <cell r="N32">
            <v>-0.35699999999999998</v>
          </cell>
          <cell r="P32">
            <v>-0.35699999999999998</v>
          </cell>
          <cell r="R32">
            <v>-0.35699999999999998</v>
          </cell>
        </row>
        <row r="33">
          <cell r="A33" t="str">
            <v>Bonus Accrual vs. Paid</v>
          </cell>
          <cell r="C33">
            <v>1</v>
          </cell>
          <cell r="D33">
            <v>-0.29399999999999998</v>
          </cell>
          <cell r="F33">
            <v>1</v>
          </cell>
          <cell r="H33">
            <v>-0.29399999999999998</v>
          </cell>
          <cell r="J33">
            <v>0</v>
          </cell>
          <cell r="L33">
            <v>1</v>
          </cell>
          <cell r="N33">
            <v>0</v>
          </cell>
          <cell r="P33">
            <v>0</v>
          </cell>
          <cell r="R33">
            <v>0</v>
          </cell>
        </row>
        <row r="34">
          <cell r="A34" t="str">
            <v>Workers Compensation</v>
          </cell>
          <cell r="C34">
            <v>1</v>
          </cell>
          <cell r="D34">
            <v>1.2</v>
          </cell>
          <cell r="F34">
            <v>1</v>
          </cell>
          <cell r="H34">
            <v>1.2</v>
          </cell>
          <cell r="J34">
            <v>1.1000000000000001</v>
          </cell>
          <cell r="L34">
            <v>1</v>
          </cell>
          <cell r="N34">
            <v>1.1000000000000001</v>
          </cell>
          <cell r="P34">
            <v>1.1000000000000001</v>
          </cell>
          <cell r="R34">
            <v>1.1000000000000001</v>
          </cell>
        </row>
        <row r="35">
          <cell r="A35" t="str">
            <v>Other</v>
          </cell>
          <cell r="C35">
            <v>1</v>
          </cell>
          <cell r="D35">
            <v>-0.39200000000000002</v>
          </cell>
          <cell r="F35">
            <v>1</v>
          </cell>
          <cell r="H35">
            <v>-0.39200000000000002</v>
          </cell>
          <cell r="J35">
            <v>-0.39200000000000002</v>
          </cell>
          <cell r="L35">
            <v>1</v>
          </cell>
          <cell r="N35">
            <v>-0.39200000000000002</v>
          </cell>
          <cell r="P35">
            <v>-0.39200000000000002</v>
          </cell>
          <cell r="R35">
            <v>-0.39200000000000002</v>
          </cell>
        </row>
        <row r="37">
          <cell r="A37" t="str">
            <v xml:space="preserve">CHEP Management Adjusted EBITDA: </v>
          </cell>
          <cell r="D37">
            <v>7.7934427525252756</v>
          </cell>
          <cell r="H37">
            <v>7.7934427525252756</v>
          </cell>
          <cell r="J37">
            <v>10.833693784099392</v>
          </cell>
          <cell r="N37">
            <v>10.833693784099392</v>
          </cell>
          <cell r="P37">
            <v>10.833693784099392</v>
          </cell>
          <cell r="R37">
            <v>10.833693784099392</v>
          </cell>
          <cell r="T37" t="e">
            <v>#REF!</v>
          </cell>
        </row>
        <row r="38">
          <cell r="A38" t="str">
            <v>% Margin</v>
          </cell>
          <cell r="D38">
            <v>1.9118475714707754E-2</v>
          </cell>
          <cell r="H38">
            <v>1.9118475714707754E-2</v>
          </cell>
          <cell r="J38" t="e">
            <v>#VALUE!</v>
          </cell>
          <cell r="N38" t="e">
            <v>#VALUE!</v>
          </cell>
          <cell r="P38" t="e">
            <v>#VALUE!</v>
          </cell>
          <cell r="R38" t="e">
            <v>#VALUE!</v>
          </cell>
        </row>
        <row r="39">
          <cell r="A39" t="str">
            <v>Pro Forma Adjustments:</v>
          </cell>
        </row>
        <row r="41">
          <cell r="A41" t="str">
            <v>Jacksonville Closure</v>
          </cell>
          <cell r="C41">
            <v>1</v>
          </cell>
          <cell r="D41">
            <v>0.45533747000000008</v>
          </cell>
          <cell r="F41">
            <v>1</v>
          </cell>
          <cell r="H41">
            <v>0.45533747000000008</v>
          </cell>
          <cell r="J41">
            <v>0.45240551999999984</v>
          </cell>
          <cell r="L41">
            <v>1</v>
          </cell>
          <cell r="N41">
            <v>0.45240551999999984</v>
          </cell>
          <cell r="P41">
            <v>0.45240551999999984</v>
          </cell>
          <cell r="R41">
            <v>0.45240551999999984</v>
          </cell>
        </row>
        <row r="42">
          <cell r="A42" t="str">
            <v>PetSmart Arrangement</v>
          </cell>
          <cell r="C42">
            <v>1.2</v>
          </cell>
          <cell r="D42">
            <v>-1.1399999999999999</v>
          </cell>
          <cell r="F42">
            <v>1.2</v>
          </cell>
          <cell r="H42">
            <v>-1.3679999999999999</v>
          </cell>
          <cell r="J42">
            <v>-0.76</v>
          </cell>
          <cell r="L42">
            <v>1.2</v>
          </cell>
          <cell r="N42">
            <v>-0.91199999999999992</v>
          </cell>
          <cell r="P42">
            <v>-0.76</v>
          </cell>
          <cell r="R42">
            <v>-0.91199999999999992</v>
          </cell>
        </row>
        <row r="43">
          <cell r="A43" t="str">
            <v xml:space="preserve">Chep - Blue Pallet Recovery Fees </v>
          </cell>
          <cell r="C43">
            <v>1</v>
          </cell>
          <cell r="D43">
            <v>-0.38534800000000008</v>
          </cell>
          <cell r="F43">
            <v>1</v>
          </cell>
          <cell r="H43">
            <v>-0.38534800000000008</v>
          </cell>
          <cell r="J43">
            <v>-0.33756000000000008</v>
          </cell>
          <cell r="L43">
            <v>1</v>
          </cell>
          <cell r="N43">
            <v>-0.33756000000000008</v>
          </cell>
          <cell r="P43">
            <v>-0.33756000000000008</v>
          </cell>
          <cell r="R43">
            <v>-0.33756000000000008</v>
          </cell>
        </row>
        <row r="45">
          <cell r="A45" t="str">
            <v xml:space="preserve">CHEP Pro Forma Adjusted EBITDA: </v>
          </cell>
          <cell r="D45">
            <v>6.7234322225252754</v>
          </cell>
          <cell r="H45">
            <v>6.4954322225252756</v>
          </cell>
          <cell r="J45">
            <v>10.188539304099391</v>
          </cell>
          <cell r="N45">
            <v>10.036539304099392</v>
          </cell>
          <cell r="P45">
            <v>10.188539304099391</v>
          </cell>
          <cell r="R45">
            <v>10.036539304099392</v>
          </cell>
        </row>
        <row r="46">
          <cell r="A46" t="str">
            <v>% Margin</v>
          </cell>
          <cell r="D46">
            <v>1.6493580532709017E-2</v>
          </cell>
          <cell r="H46">
            <v>1.593426257768318E-2</v>
          </cell>
          <cell r="J46" t="e">
            <v>#VALUE!</v>
          </cell>
          <cell r="N46" t="e">
            <v>#VALUE!</v>
          </cell>
          <cell r="P46" t="e">
            <v>#VALUE!</v>
          </cell>
          <cell r="R46" t="e">
            <v>#VALUE!</v>
          </cell>
        </row>
        <row r="48">
          <cell r="A48" t="str">
            <v>Standalone Costs:</v>
          </cell>
        </row>
        <row r="50">
          <cell r="A50" t="str">
            <v>NAHQ Allocation</v>
          </cell>
          <cell r="C50">
            <v>1</v>
          </cell>
          <cell r="D50">
            <v>2.6486004200000006</v>
          </cell>
          <cell r="F50">
            <v>1</v>
          </cell>
          <cell r="H50">
            <v>2.6486004200000006</v>
          </cell>
          <cell r="J50">
            <v>2.5684706099999999</v>
          </cell>
          <cell r="L50">
            <v>1</v>
          </cell>
          <cell r="N50">
            <v>2.5684706099999999</v>
          </cell>
          <cell r="P50">
            <v>2.5684706099999999</v>
          </cell>
          <cell r="R50">
            <v>2.5684706099999999</v>
          </cell>
        </row>
        <row r="51">
          <cell r="A51" t="str">
            <v>Global / CS Allocation</v>
          </cell>
          <cell r="C51">
            <v>1</v>
          </cell>
          <cell r="D51">
            <v>0.51708236000000007</v>
          </cell>
          <cell r="F51">
            <v>1</v>
          </cell>
          <cell r="H51">
            <v>0.51708236000000007</v>
          </cell>
          <cell r="J51">
            <v>0.27048171999999998</v>
          </cell>
          <cell r="L51">
            <v>1</v>
          </cell>
          <cell r="N51">
            <v>0.27048171999999998</v>
          </cell>
          <cell r="P51">
            <v>0.27048171999999998</v>
          </cell>
          <cell r="R51">
            <v>0.27048171999999998</v>
          </cell>
        </row>
        <row r="52">
          <cell r="A52" t="str">
            <v>IT Allocation</v>
          </cell>
          <cell r="C52">
            <v>1</v>
          </cell>
          <cell r="D52">
            <v>2.3320450500000001</v>
          </cell>
          <cell r="F52">
            <v>1</v>
          </cell>
          <cell r="H52">
            <v>2.3320450500000001</v>
          </cell>
          <cell r="J52">
            <v>2.5444399199999999</v>
          </cell>
          <cell r="L52">
            <v>1</v>
          </cell>
          <cell r="N52">
            <v>2.5444399199999999</v>
          </cell>
          <cell r="P52">
            <v>2.5444399199999999</v>
          </cell>
          <cell r="R52">
            <v>2.5444399199999999</v>
          </cell>
        </row>
        <row r="53">
          <cell r="A53" t="str">
            <v>GFS Allocation</v>
          </cell>
          <cell r="C53">
            <v>1</v>
          </cell>
          <cell r="D53">
            <v>1.4855772099999998</v>
          </cell>
          <cell r="F53">
            <v>1</v>
          </cell>
          <cell r="H53">
            <v>1.4855772099999998</v>
          </cell>
          <cell r="J53">
            <v>1.5910871099999997</v>
          </cell>
          <cell r="L53">
            <v>1</v>
          </cell>
          <cell r="N53">
            <v>1.5910871099999997</v>
          </cell>
          <cell r="P53">
            <v>1.5910871099999997</v>
          </cell>
          <cell r="R53">
            <v>1.5910871099999997</v>
          </cell>
        </row>
        <row r="54">
          <cell r="A54" t="str">
            <v>HR Allocation</v>
          </cell>
          <cell r="C54">
            <v>1</v>
          </cell>
          <cell r="D54">
            <v>0.58347645999999986</v>
          </cell>
          <cell r="F54">
            <v>1</v>
          </cell>
          <cell r="H54">
            <v>0.58347645999999986</v>
          </cell>
          <cell r="J54">
            <v>0.80899940000000015</v>
          </cell>
          <cell r="L54">
            <v>1</v>
          </cell>
          <cell r="N54">
            <v>0.80899940000000015</v>
          </cell>
          <cell r="P54">
            <v>0.80899940000000015</v>
          </cell>
          <cell r="R54">
            <v>0.80899940000000015</v>
          </cell>
        </row>
        <row r="55">
          <cell r="A55" t="str">
            <v xml:space="preserve">IFCO RPC Recovery </v>
          </cell>
          <cell r="C55">
            <v>1</v>
          </cell>
          <cell r="D55">
            <v>-0.38400000000000001</v>
          </cell>
          <cell r="F55">
            <v>1</v>
          </cell>
          <cell r="H55">
            <v>-0.38400000000000001</v>
          </cell>
          <cell r="J55">
            <v>-0.38815399999999994</v>
          </cell>
          <cell r="L55">
            <v>1</v>
          </cell>
          <cell r="N55">
            <v>-0.38815399999999994</v>
          </cell>
          <cell r="P55">
            <v>-0.38815399999999994</v>
          </cell>
          <cell r="R55">
            <v>-0.38815399999999994</v>
          </cell>
        </row>
        <row r="56">
          <cell r="A56" t="str">
            <v xml:space="preserve">IT </v>
          </cell>
          <cell r="C56">
            <v>1.3048585299317943</v>
          </cell>
          <cell r="D56">
            <v>-1.078290395289395</v>
          </cell>
          <cell r="F56">
            <v>1.3048585299317943</v>
          </cell>
          <cell r="H56">
            <v>-1.4070164200368933</v>
          </cell>
          <cell r="J56">
            <v>-1.082492827842289</v>
          </cell>
          <cell r="L56">
            <v>1.3048585299317943</v>
          </cell>
          <cell r="N56">
            <v>-1.4125000000000001</v>
          </cell>
          <cell r="P56">
            <v>-1.082492827842289</v>
          </cell>
          <cell r="R56">
            <v>-1.4125000000000001</v>
          </cell>
        </row>
        <row r="57">
          <cell r="A57" t="str">
            <v>Finance</v>
          </cell>
          <cell r="C57">
            <v>1.0183097731218238</v>
          </cell>
          <cell r="D57">
            <v>-1.6435968932038834</v>
          </cell>
          <cell r="F57">
            <v>1.0183097731218238</v>
          </cell>
          <cell r="H57">
            <v>-1.6736907794221809</v>
          </cell>
          <cell r="J57">
            <v>-1.658782862135922</v>
          </cell>
          <cell r="L57">
            <v>1.0183097731218238</v>
          </cell>
          <cell r="N57">
            <v>-1.6891548000000003</v>
          </cell>
          <cell r="P57">
            <v>-1.658782862135922</v>
          </cell>
          <cell r="R57">
            <v>-1.6891548000000003</v>
          </cell>
        </row>
        <row r="58">
          <cell r="A58" t="str">
            <v>HR</v>
          </cell>
          <cell r="C58">
            <v>1.0151055726981215</v>
          </cell>
          <cell r="D58">
            <v>-1.1716780582524269</v>
          </cell>
          <cell r="F58">
            <v>1.0151055726981215</v>
          </cell>
          <cell r="H58">
            <v>-1.1893769263401528</v>
          </cell>
          <cell r="J58">
            <v>-1.1805948388349514</v>
          </cell>
          <cell r="L58">
            <v>1.0151055726981215</v>
          </cell>
          <cell r="N58">
            <v>-1.1984283999999998</v>
          </cell>
          <cell r="P58">
            <v>-1.1805948388349514</v>
          </cell>
          <cell r="R58">
            <v>-1.1984283999999998</v>
          </cell>
        </row>
        <row r="59">
          <cell r="A59" t="str">
            <v>Sales</v>
          </cell>
          <cell r="C59" t="str">
            <v>PEPI Addition</v>
          </cell>
          <cell r="D59">
            <v>0</v>
          </cell>
          <cell r="H59">
            <v>-0.28443040000000003</v>
          </cell>
          <cell r="J59">
            <v>0</v>
          </cell>
          <cell r="N59">
            <v>-0.28443040000000003</v>
          </cell>
          <cell r="P59">
            <v>0</v>
          </cell>
          <cell r="R59">
            <v>-0.28443040000000003</v>
          </cell>
        </row>
        <row r="60">
          <cell r="A60" t="str">
            <v>Core Operations</v>
          </cell>
          <cell r="C60" t="str">
            <v>PEPI Addition</v>
          </cell>
          <cell r="D60">
            <v>0</v>
          </cell>
          <cell r="H60">
            <v>-9.2999999999999999E-2</v>
          </cell>
          <cell r="J60">
            <v>0</v>
          </cell>
          <cell r="N60">
            <v>-9.2999999999999999E-2</v>
          </cell>
          <cell r="P60">
            <v>0</v>
          </cell>
          <cell r="R60">
            <v>-9.2999999999999999E-2</v>
          </cell>
        </row>
        <row r="62">
          <cell r="A62" t="str">
            <v xml:space="preserve">CHEP Standalone Pro Forma Adjusted EBITDA: </v>
          </cell>
          <cell r="D62">
            <v>10.01264837577957</v>
          </cell>
          <cell r="H62">
            <v>9.0306991967260473</v>
          </cell>
          <cell r="J62">
            <v>13.661993535286229</v>
          </cell>
          <cell r="N62">
            <v>12.754350464099391</v>
          </cell>
          <cell r="P62">
            <v>13.661993535286229</v>
          </cell>
          <cell r="R62">
            <v>12.754350464099391</v>
          </cell>
          <cell r="T62" t="e">
            <v>#REF!</v>
          </cell>
          <cell r="V62">
            <v>9.0165312866146312</v>
          </cell>
        </row>
        <row r="63">
          <cell r="A63" t="str">
            <v>% Margin</v>
          </cell>
          <cell r="D63">
            <v>2.4562517604972797E-2</v>
          </cell>
          <cell r="H63">
            <v>2.2153650031431063E-2</v>
          </cell>
          <cell r="J63" t="e">
            <v>#VALUE!</v>
          </cell>
          <cell r="N63" t="e">
            <v>#VALUE!</v>
          </cell>
          <cell r="P63" t="e">
            <v>#VALUE!</v>
          </cell>
          <cell r="R63" t="e">
            <v>#VALUE!</v>
          </cell>
        </row>
        <row r="65">
          <cell r="A65" t="str">
            <v>Paramount Pallets</v>
          </cell>
          <cell r="C65">
            <v>1</v>
          </cell>
          <cell r="D65">
            <v>0</v>
          </cell>
          <cell r="F65">
            <v>1</v>
          </cell>
          <cell r="H65">
            <v>0</v>
          </cell>
          <cell r="J65">
            <v>0</v>
          </cell>
          <cell r="L65">
            <v>1</v>
          </cell>
          <cell r="N65">
            <v>0</v>
          </cell>
          <cell r="P65">
            <v>0</v>
          </cell>
          <cell r="R65">
            <v>0</v>
          </cell>
          <cell r="AA65" t="str">
            <v>OCF Calculations:</v>
          </cell>
        </row>
        <row r="67">
          <cell r="A67" t="str">
            <v>Total CHEP &amp; Paramount</v>
          </cell>
          <cell r="P67">
            <v>13.661993535286229</v>
          </cell>
          <cell r="R67">
            <v>12.754350464099391</v>
          </cell>
          <cell r="T67" t="e">
            <v>#REF!</v>
          </cell>
          <cell r="V67">
            <v>9.0165312866146312</v>
          </cell>
          <cell r="AA67">
            <v>8.9543504640993916</v>
          </cell>
          <cell r="AB67" t="e">
            <v>#REF!</v>
          </cell>
        </row>
        <row r="69">
          <cell r="A69" t="str">
            <v>PRIME WOODCRAFT:</v>
          </cell>
        </row>
        <row r="71">
          <cell r="A71" t="str">
            <v>PWC Unadjusted EBITDA</v>
          </cell>
          <cell r="P71">
            <v>3.9405600000000001</v>
          </cell>
          <cell r="R71">
            <v>3.9405600000000001</v>
          </cell>
        </row>
        <row r="72">
          <cell r="A72" t="str">
            <v>% Margin</v>
          </cell>
          <cell r="P72">
            <v>6.1188819875776394E-2</v>
          </cell>
          <cell r="R72">
            <v>6.1188819875776394E-2</v>
          </cell>
        </row>
        <row r="74">
          <cell r="A74" t="str">
            <v>Adjustments:</v>
          </cell>
        </row>
        <row r="75">
          <cell r="A75" t="str">
            <v>Estimated LTM Roll-forward Through December '17</v>
          </cell>
          <cell r="C75">
            <v>1</v>
          </cell>
          <cell r="P75">
            <v>0</v>
          </cell>
          <cell r="R75">
            <v>0</v>
          </cell>
        </row>
        <row r="76">
          <cell r="A76" t="str">
            <v>Travel Expenses</v>
          </cell>
          <cell r="C76">
            <v>1</v>
          </cell>
          <cell r="P76">
            <v>0.23368900000000001</v>
          </cell>
          <cell r="R76">
            <v>0.23368900000000001</v>
          </cell>
        </row>
        <row r="77">
          <cell r="A77" t="str">
            <v>Marketing</v>
          </cell>
          <cell r="C77">
            <v>1</v>
          </cell>
          <cell r="P77">
            <v>0.14865999999999999</v>
          </cell>
          <cell r="R77">
            <v>0.14865999999999999</v>
          </cell>
        </row>
        <row r="78">
          <cell r="A78" t="str">
            <v>Rent</v>
          </cell>
          <cell r="C78">
            <v>1</v>
          </cell>
          <cell r="P78">
            <v>0.14050000000000001</v>
          </cell>
          <cell r="R78">
            <v>0.14050000000000001</v>
          </cell>
        </row>
        <row r="79">
          <cell r="A79" t="str">
            <v>Trailer Leases</v>
          </cell>
          <cell r="C79">
            <v>1</v>
          </cell>
          <cell r="P79">
            <v>5.9580000000000001E-2</v>
          </cell>
          <cell r="R79">
            <v>5.9580000000000001E-2</v>
          </cell>
        </row>
        <row r="80">
          <cell r="A80" t="str">
            <v xml:space="preserve">Other </v>
          </cell>
          <cell r="C80">
            <v>1</v>
          </cell>
          <cell r="P80">
            <v>0.107584</v>
          </cell>
          <cell r="R80">
            <v>0.107584</v>
          </cell>
        </row>
        <row r="82">
          <cell r="A82" t="str">
            <v xml:space="preserve">PWC Adjusted EBITDA: </v>
          </cell>
          <cell r="P82">
            <v>4.6305730000000001</v>
          </cell>
          <cell r="R82">
            <v>4.6305730000000001</v>
          </cell>
          <cell r="T82">
            <v>6.9537830415371928</v>
          </cell>
          <cell r="V82">
            <v>6.9537830415371928</v>
          </cell>
          <cell r="AA82">
            <v>3.1305730000000001</v>
          </cell>
          <cell r="AB82">
            <v>10.285656970784583</v>
          </cell>
        </row>
        <row r="83">
          <cell r="A83" t="str">
            <v>% Margin</v>
          </cell>
          <cell r="P83">
            <v>7.1903307453416138E-2</v>
          </cell>
          <cell r="R83">
            <v>7.1903307453416138E-2</v>
          </cell>
        </row>
        <row r="85">
          <cell r="A85" t="str">
            <v>Recent Contract Wins</v>
          </cell>
          <cell r="C85">
            <v>0</v>
          </cell>
          <cell r="P85">
            <v>3.1</v>
          </cell>
          <cell r="R85">
            <v>0</v>
          </cell>
        </row>
        <row r="87">
          <cell r="A87" t="str">
            <v>River City Wood (Broker)</v>
          </cell>
          <cell r="C87">
            <v>1</v>
          </cell>
          <cell r="P87">
            <v>1.5</v>
          </cell>
          <cell r="R87">
            <v>1.5</v>
          </cell>
        </row>
        <row r="89">
          <cell r="A89" t="str">
            <v>Supplyside USA</v>
          </cell>
          <cell r="C89">
            <v>1</v>
          </cell>
          <cell r="P89">
            <v>1.1000000000000001</v>
          </cell>
          <cell r="R89">
            <v>1.1000000000000001</v>
          </cell>
        </row>
        <row r="91">
          <cell r="A91" t="str">
            <v>Packaging Supplies</v>
          </cell>
          <cell r="C91">
            <v>1</v>
          </cell>
          <cell r="P91">
            <v>0.2</v>
          </cell>
          <cell r="R91">
            <v>0.2</v>
          </cell>
        </row>
        <row r="93">
          <cell r="A93" t="str">
            <v>Total PWC &amp; Affiliated Companies</v>
          </cell>
          <cell r="P93">
            <v>10.530572999999999</v>
          </cell>
          <cell r="R93">
            <v>7.4305729999999999</v>
          </cell>
          <cell r="T93">
            <v>5.8138181268120244</v>
          </cell>
          <cell r="V93">
            <v>5.8138181268120244</v>
          </cell>
          <cell r="AA93">
            <v>5.3305729999999993</v>
          </cell>
          <cell r="AB93">
            <v>8.104194427128192</v>
          </cell>
        </row>
        <row r="95">
          <cell r="A95" t="str">
            <v xml:space="preserve">COMBINED: CHEP + PWC &amp; Affiliates </v>
          </cell>
          <cell r="P95">
            <v>24.192566535286225</v>
          </cell>
          <cell r="R95">
            <v>20.184923464099391</v>
          </cell>
          <cell r="T95" t="e">
            <v>#REF!</v>
          </cell>
          <cell r="V95">
            <v>7.8375328141011877</v>
          </cell>
          <cell r="AA95">
            <v>14.284923464099393</v>
          </cell>
          <cell r="AB95" t="e">
            <v>#REF!</v>
          </cell>
        </row>
        <row r="97">
          <cell r="A97" t="str">
            <v>SYNERGIES (PER A&amp;M PEPI):</v>
          </cell>
        </row>
        <row r="99">
          <cell r="A99" t="str">
            <v>Duplicative Overhead Positions - Tier 1</v>
          </cell>
          <cell r="C99">
            <v>0.8589913071516091</v>
          </cell>
          <cell r="P99">
            <v>0.77534999999999998</v>
          </cell>
          <cell r="R99">
            <v>0.66601891000000013</v>
          </cell>
        </row>
        <row r="100">
          <cell r="A100" t="str">
            <v xml:space="preserve">Lease cost savings - duplicate operating facilities - Tier 1 </v>
          </cell>
          <cell r="C100">
            <v>1.8746462281970231</v>
          </cell>
          <cell r="P100">
            <v>0.95627251000000002</v>
          </cell>
          <cell r="R100">
            <v>1.792672654</v>
          </cell>
        </row>
        <row r="101">
          <cell r="A101" t="str">
            <v>Captured brokerage margin - Tier 1</v>
          </cell>
          <cell r="C101">
            <v>0.7</v>
          </cell>
          <cell r="P101">
            <v>2.5</v>
          </cell>
          <cell r="R101">
            <v>1.75</v>
          </cell>
        </row>
        <row r="102">
          <cell r="A102" t="str">
            <v>Headcount Redundancy / PEO Elimination</v>
          </cell>
          <cell r="C102" t="str">
            <v>PEPI Addition</v>
          </cell>
          <cell r="P102">
            <v>0</v>
          </cell>
          <cell r="R102">
            <v>1.131</v>
          </cell>
        </row>
        <row r="103">
          <cell r="A103" t="str">
            <v xml:space="preserve">Total Estimated Synergies: </v>
          </cell>
          <cell r="P103">
            <v>4.2316225100000002</v>
          </cell>
          <cell r="R103">
            <v>5.3396915640000007</v>
          </cell>
        </row>
        <row r="105">
          <cell r="A105" t="str">
            <v>COMBINED: CHEP + PWC &amp; Affiliates (Synergized)</v>
          </cell>
          <cell r="P105">
            <v>28.424189045286226</v>
          </cell>
          <cell r="R105">
            <v>25.52461502809939</v>
          </cell>
          <cell r="T105" t="e">
            <v>#REF!</v>
          </cell>
          <cell r="V105">
            <v>6.1979387280020362</v>
          </cell>
          <cell r="AA105">
            <v>19.624615028099392</v>
          </cell>
          <cell r="AB105" t="e">
            <v>#REF!</v>
          </cell>
        </row>
        <row r="107">
          <cell r="A107" t="str">
            <v>OPERATIONAL IMPROVEMENT OPPORTUNITIES:</v>
          </cell>
        </row>
        <row r="109">
          <cell r="A109" t="str">
            <v xml:space="preserve">Additional Recycling Volumes Through I.H.S. </v>
          </cell>
          <cell r="C109">
            <v>1</v>
          </cell>
          <cell r="P109">
            <v>1.2</v>
          </cell>
          <cell r="R109">
            <v>1.2</v>
          </cell>
        </row>
        <row r="110">
          <cell r="A110" t="str">
            <v>TPM</v>
          </cell>
          <cell r="C110">
            <v>0.73739200000000005</v>
          </cell>
          <cell r="P110">
            <v>0.5</v>
          </cell>
          <cell r="R110">
            <v>0.36869600000000002</v>
          </cell>
        </row>
        <row r="111">
          <cell r="A111" t="str">
            <v xml:space="preserve">Transportation Efficiencies (Leases, Backhauls, Common Carrier) - Tier 1 </v>
          </cell>
          <cell r="C111">
            <v>1</v>
          </cell>
          <cell r="P111">
            <v>0.5</v>
          </cell>
          <cell r="R111">
            <v>0.5</v>
          </cell>
        </row>
        <row r="112">
          <cell r="A112" t="str">
            <v>Benefits, Insurance, Other - Tier 1</v>
          </cell>
          <cell r="C112">
            <v>1</v>
          </cell>
          <cell r="P112">
            <v>1</v>
          </cell>
          <cell r="R112">
            <v>1</v>
          </cell>
        </row>
        <row r="113">
          <cell r="A113" t="str">
            <v xml:space="preserve">Purchasing synergies - cores, other items - Tier 2 </v>
          </cell>
          <cell r="C113">
            <v>0.5</v>
          </cell>
          <cell r="P113">
            <v>1</v>
          </cell>
          <cell r="R113">
            <v>0.5</v>
          </cell>
        </row>
        <row r="114">
          <cell r="A114" t="str">
            <v>Price per Pallet Work Rate ($2.00 @ CHEP vs. $1.50 @ PWC)</v>
          </cell>
          <cell r="C114">
            <v>1</v>
          </cell>
          <cell r="P114">
            <v>6</v>
          </cell>
          <cell r="R114">
            <v>6</v>
          </cell>
        </row>
        <row r="115">
          <cell r="A115" t="str">
            <v xml:space="preserve">Shutter Unprofitable Facilities </v>
          </cell>
          <cell r="C115">
            <v>1</v>
          </cell>
          <cell r="P115">
            <v>2</v>
          </cell>
          <cell r="R115">
            <v>2</v>
          </cell>
        </row>
        <row r="116">
          <cell r="A116" t="str">
            <v>CHEP Re-win 3 ID'ed Lost Customers (Home Depot, Walmart and Target)</v>
          </cell>
          <cell r="C116">
            <v>1</v>
          </cell>
          <cell r="P116">
            <v>2.5</v>
          </cell>
          <cell r="R116">
            <v>2.5</v>
          </cell>
        </row>
        <row r="117">
          <cell r="A117" t="str">
            <v xml:space="preserve">Mixed Sort Opportunity (CHEP, Peco and iGPS) - Conflict Removed </v>
          </cell>
          <cell r="C117">
            <v>1</v>
          </cell>
          <cell r="P117">
            <v>0</v>
          </cell>
          <cell r="R117">
            <v>0</v>
          </cell>
        </row>
        <row r="119">
          <cell r="A119" t="str">
            <v xml:space="preserve">Total Operational Improvement Opportunities: </v>
          </cell>
          <cell r="P119">
            <v>14.7</v>
          </cell>
          <cell r="R119">
            <v>14.068695999999999</v>
          </cell>
        </row>
        <row r="121">
          <cell r="A121" t="str">
            <v xml:space="preserve">TOTAL 2017E COMBINED STANDALONE PF ADJUSTED EBITDA </v>
          </cell>
          <cell r="P121">
            <v>43.124189045286229</v>
          </cell>
          <cell r="R121">
            <v>39.593311028099393</v>
          </cell>
          <cell r="T121" t="e">
            <v>#REF!</v>
          </cell>
          <cell r="V121">
            <v>3.9956244095808349</v>
          </cell>
          <cell r="AA121">
            <v>33.693311028099394</v>
          </cell>
          <cell r="AB121" t="e">
            <v>#REF!</v>
          </cell>
        </row>
        <row r="124">
          <cell r="A124" t="str">
            <v>Note: Latest estimate of CHEP FY2018E Standalone PF Adjusted EBITDA is $12 million - $14 million.</v>
          </cell>
        </row>
        <row r="128">
          <cell r="A128" t="str">
            <v>CHEP Revenue: US ONLY</v>
          </cell>
          <cell r="D128">
            <v>407.6393363582755</v>
          </cell>
          <cell r="H128">
            <v>407.6393363582755</v>
          </cell>
          <cell r="J128" t="e">
            <v>#VALUE!</v>
          </cell>
          <cell r="N128" t="e">
            <v>#VALUE!</v>
          </cell>
          <cell r="P128" t="e">
            <v>#VALUE!</v>
          </cell>
          <cell r="R128" t="e">
            <v>#VALUE!</v>
          </cell>
        </row>
        <row r="129">
          <cell r="A129" t="str">
            <v>PWC Revenue:</v>
          </cell>
          <cell r="P129">
            <v>64.400000000000006</v>
          </cell>
          <cell r="R129">
            <v>64.400000000000006</v>
          </cell>
        </row>
      </sheetData>
      <sheetData sheetId="10">
        <row r="1">
          <cell r="A1" t="str">
            <v>CHEP EBITDA Adjustments</v>
          </cell>
        </row>
      </sheetData>
      <sheetData sheetId="11">
        <row r="1">
          <cell r="A1" t="str">
            <v>CHEP Recycled / Prime Woodcraft  - PPR Analysis</v>
          </cell>
        </row>
        <row r="2">
          <cell r="A2" t="str">
            <v>($ in millions)</v>
          </cell>
          <cell r="H2" t="str">
            <v xml:space="preserve">Purchase Price </v>
          </cell>
        </row>
        <row r="4">
          <cell r="A4" t="str">
            <v>CHEP Recycled</v>
          </cell>
          <cell r="H4">
            <v>100</v>
          </cell>
          <cell r="J4">
            <v>102.5</v>
          </cell>
          <cell r="L4">
            <v>105</v>
          </cell>
          <cell r="N4">
            <v>107.5</v>
          </cell>
          <cell r="P4">
            <v>110</v>
          </cell>
          <cell r="R4">
            <v>112.5</v>
          </cell>
          <cell r="T4">
            <v>115</v>
          </cell>
        </row>
        <row r="5">
          <cell r="A5" t="str">
            <v xml:space="preserve">Prime Woodcraft </v>
          </cell>
          <cell r="H5">
            <v>32.200000000000003</v>
          </cell>
          <cell r="J5">
            <v>32.200000000000003</v>
          </cell>
          <cell r="L5">
            <v>32.200000000000003</v>
          </cell>
          <cell r="N5">
            <v>32.200000000000003</v>
          </cell>
          <cell r="P5">
            <v>32.200000000000003</v>
          </cell>
          <cell r="R5">
            <v>32.200000000000003</v>
          </cell>
          <cell r="T5">
            <v>32.200000000000003</v>
          </cell>
        </row>
        <row r="6">
          <cell r="A6" t="str">
            <v>Prime Affiliates</v>
          </cell>
          <cell r="H6">
            <v>11</v>
          </cell>
          <cell r="J6">
            <v>11</v>
          </cell>
          <cell r="L6">
            <v>11</v>
          </cell>
          <cell r="N6">
            <v>11</v>
          </cell>
          <cell r="P6">
            <v>11</v>
          </cell>
          <cell r="R6">
            <v>11</v>
          </cell>
          <cell r="T6">
            <v>11</v>
          </cell>
        </row>
        <row r="7">
          <cell r="A7" t="str">
            <v>Enterprise Value</v>
          </cell>
          <cell r="H7">
            <v>143.19999999999999</v>
          </cell>
          <cell r="J7">
            <v>145.69999999999999</v>
          </cell>
          <cell r="L7">
            <v>148.19999999999999</v>
          </cell>
          <cell r="N7">
            <v>150.69999999999999</v>
          </cell>
          <cell r="P7">
            <v>153.19999999999999</v>
          </cell>
          <cell r="R7">
            <v>155.69999999999999</v>
          </cell>
          <cell r="T7">
            <v>158.19999999999999</v>
          </cell>
        </row>
        <row r="9">
          <cell r="A9" t="str">
            <v>Firm Value as a Multiple of:</v>
          </cell>
          <cell r="F9" t="str">
            <v>Statistic</v>
          </cell>
          <cell r="H9" t="str">
            <v>EV / EBITDA Multiple</v>
          </cell>
        </row>
        <row r="11">
          <cell r="A11" t="str">
            <v>CHEP Recycled:</v>
          </cell>
        </row>
        <row r="13">
          <cell r="A13" t="str">
            <v xml:space="preserve">LTM June 2018 Adjusted EBITDA </v>
          </cell>
          <cell r="F13" t="e">
            <v>#REF!</v>
          </cell>
          <cell r="H13" t="e">
            <v>#REF!</v>
          </cell>
          <cell r="J13" t="e">
            <v>#REF!</v>
          </cell>
          <cell r="L13" t="e">
            <v>#REF!</v>
          </cell>
          <cell r="N13" t="e">
            <v>#REF!</v>
          </cell>
          <cell r="P13" t="e">
            <v>#REF!</v>
          </cell>
          <cell r="R13" t="e">
            <v>#REF!</v>
          </cell>
          <cell r="T13" t="e">
            <v>#REF!</v>
          </cell>
        </row>
        <row r="15">
          <cell r="A15" t="str">
            <v>Prime Woodcraft:</v>
          </cell>
        </row>
        <row r="17">
          <cell r="A17" t="str">
            <v xml:space="preserve">LTM June 2018 Adjusted EBITDA </v>
          </cell>
          <cell r="F17">
            <v>4.6305730000000001</v>
          </cell>
          <cell r="H17">
            <v>6.9537830415371928</v>
          </cell>
          <cell r="J17">
            <v>6.9537830415371928</v>
          </cell>
          <cell r="L17">
            <v>6.9537830415371928</v>
          </cell>
          <cell r="N17">
            <v>6.9537830415371928</v>
          </cell>
          <cell r="P17">
            <v>6.9537830415371928</v>
          </cell>
          <cell r="R17">
            <v>6.9537830415371928</v>
          </cell>
          <cell r="T17">
            <v>6.9537830415371928</v>
          </cell>
        </row>
        <row r="19">
          <cell r="A19" t="str">
            <v>Prime Affiliates:</v>
          </cell>
        </row>
        <row r="21">
          <cell r="A21" t="str">
            <v xml:space="preserve">LTM June 2018 Adjusted EBITDA </v>
          </cell>
          <cell r="F21">
            <v>2.8000000000000003</v>
          </cell>
          <cell r="H21">
            <v>3.9285714285714284</v>
          </cell>
          <cell r="J21">
            <v>3.9285714285714284</v>
          </cell>
          <cell r="L21">
            <v>3.9285714285714284</v>
          </cell>
          <cell r="N21">
            <v>3.9285714285714284</v>
          </cell>
          <cell r="P21">
            <v>3.9285714285714284</v>
          </cell>
          <cell r="R21">
            <v>3.9285714285714284</v>
          </cell>
          <cell r="T21">
            <v>3.9285714285714284</v>
          </cell>
        </row>
        <row r="23">
          <cell r="A23" t="str">
            <v>Combined CHEP Recycled + PWC &amp; Affiliates:</v>
          </cell>
        </row>
        <row r="25">
          <cell r="A25" t="str">
            <v xml:space="preserve">LTM June 2018 Adjusted EBITDA </v>
          </cell>
          <cell r="F25">
            <v>20.184923464099391</v>
          </cell>
          <cell r="H25">
            <v>7.0944039126377367</v>
          </cell>
          <cell r="J25">
            <v>7.218258729548312</v>
          </cell>
          <cell r="L25">
            <v>7.3421135464588874</v>
          </cell>
          <cell r="N25">
            <v>7.4659683633694618</v>
          </cell>
          <cell r="P25">
            <v>7.5898231802800371</v>
          </cell>
          <cell r="R25">
            <v>7.7136779971906124</v>
          </cell>
          <cell r="T25">
            <v>7.8375328141011877</v>
          </cell>
        </row>
        <row r="27">
          <cell r="A27" t="str">
            <v>LTM June 2018 Adjusted EBITDA (Synergized)</v>
          </cell>
          <cell r="F27">
            <v>25.52461502809939</v>
          </cell>
          <cell r="H27">
            <v>5.6102707070157498</v>
          </cell>
          <cell r="J27">
            <v>5.7082153771801307</v>
          </cell>
          <cell r="L27">
            <v>5.8061600473445116</v>
          </cell>
          <cell r="N27">
            <v>5.9041047175088925</v>
          </cell>
          <cell r="P27">
            <v>6.0020493876732735</v>
          </cell>
          <cell r="R27">
            <v>6.0999940578376552</v>
          </cell>
          <cell r="T27">
            <v>6.1979387280020362</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2">
          <cell r="A2" t="str">
            <v>Preliminary List of Synergies - Prime + CHEP IFCO</v>
          </cell>
        </row>
      </sheetData>
      <sheetData sheetId="25">
        <row r="1">
          <cell r="A1" t="str">
            <v>Prime Woodcraft EBITDA Adjustments</v>
          </cell>
        </row>
      </sheetData>
      <sheetData sheetId="26">
        <row r="3">
          <cell r="C3" t="str">
            <v xml:space="preserve">Transaction Comparables </v>
          </cell>
        </row>
        <row r="5">
          <cell r="C5" t="str">
            <v>Date</v>
          </cell>
          <cell r="E5" t="str">
            <v>Target</v>
          </cell>
          <cell r="G5" t="str">
            <v>Acquiror</v>
          </cell>
          <cell r="I5" t="str">
            <v>Enterprise Value</v>
          </cell>
          <cell r="K5" t="str">
            <v>EBITDA</v>
          </cell>
          <cell r="M5" t="str">
            <v>EV / EBITDA</v>
          </cell>
        </row>
        <row r="7">
          <cell r="C7">
            <v>42460</v>
          </cell>
          <cell r="E7" t="str">
            <v>Pallet Logistics of America</v>
          </cell>
          <cell r="G7" t="str">
            <v>Silver Oak</v>
          </cell>
          <cell r="I7" t="str">
            <v>NA</v>
          </cell>
          <cell r="K7" t="str">
            <v>NA</v>
          </cell>
          <cell r="M7" t="str">
            <v>NA</v>
          </cell>
        </row>
        <row r="8">
          <cell r="C8">
            <v>42339</v>
          </cell>
          <cell r="E8" t="str">
            <v>Northwest Pallets</v>
          </cell>
          <cell r="G8" t="str">
            <v>Huron Capital</v>
          </cell>
          <cell r="I8" t="str">
            <v>NA</v>
          </cell>
          <cell r="K8" t="str">
            <v>NA</v>
          </cell>
          <cell r="M8">
            <v>8.5</v>
          </cell>
        </row>
        <row r="9">
          <cell r="C9">
            <v>42108</v>
          </cell>
          <cell r="E9" t="str">
            <v xml:space="preserve">Certified Recycling </v>
          </cell>
          <cell r="G9" t="str">
            <v>Tricor Pacific</v>
          </cell>
          <cell r="I9" t="str">
            <v>NA</v>
          </cell>
          <cell r="K9" t="str">
            <v>NA</v>
          </cell>
          <cell r="M9">
            <v>6.75</v>
          </cell>
        </row>
        <row r="10">
          <cell r="C10">
            <v>41548</v>
          </cell>
          <cell r="E10" t="str">
            <v>Tri-Star Protector</v>
          </cell>
          <cell r="G10" t="str">
            <v>Windjammer / Caplugs</v>
          </cell>
          <cell r="I10" t="str">
            <v>NA</v>
          </cell>
          <cell r="K10" t="str">
            <v>NA</v>
          </cell>
          <cell r="M10" t="str">
            <v>NA</v>
          </cell>
        </row>
        <row r="11">
          <cell r="C11">
            <v>41498</v>
          </cell>
          <cell r="E11" t="str">
            <v>iGPS</v>
          </cell>
          <cell r="G11" t="str">
            <v>Balmoral Fund</v>
          </cell>
          <cell r="I11" t="str">
            <v>NA</v>
          </cell>
          <cell r="K11" t="str">
            <v>NA</v>
          </cell>
          <cell r="M11" t="str">
            <v>NA</v>
          </cell>
        </row>
        <row r="12">
          <cell r="C12">
            <v>40633</v>
          </cell>
          <cell r="E12" t="str">
            <v>IFCO Systems</v>
          </cell>
          <cell r="G12" t="str">
            <v xml:space="preserve">Brambles </v>
          </cell>
          <cell r="I12">
            <v>1228.47</v>
          </cell>
          <cell r="K12">
            <v>139.59886363636363</v>
          </cell>
          <cell r="M12">
            <v>8.8000000000000007</v>
          </cell>
        </row>
        <row r="13">
          <cell r="C13">
            <v>40596</v>
          </cell>
          <cell r="E13" t="str">
            <v>PECO</v>
          </cell>
          <cell r="G13" t="str">
            <v>Pritzker Group</v>
          </cell>
          <cell r="I13" t="str">
            <v>NA</v>
          </cell>
          <cell r="K13" t="str">
            <v>NA</v>
          </cell>
          <cell r="M13" t="str">
            <v>NA</v>
          </cell>
        </row>
        <row r="14">
          <cell r="C14">
            <v>40283</v>
          </cell>
          <cell r="E14" t="str">
            <v>Clover Technologies</v>
          </cell>
          <cell r="G14" t="str">
            <v>Golden Gate Capital</v>
          </cell>
          <cell r="I14" t="str">
            <v>NA</v>
          </cell>
          <cell r="K14" t="str">
            <v>NA</v>
          </cell>
          <cell r="M14">
            <v>7.5</v>
          </cell>
        </row>
        <row r="16">
          <cell r="K16" t="str">
            <v>Average</v>
          </cell>
          <cell r="M16">
            <v>7.8875000000000002</v>
          </cell>
        </row>
      </sheetData>
      <sheetData sheetId="27">
        <row r="4">
          <cell r="C4" t="str">
            <v>Sources and Uses</v>
          </cell>
        </row>
        <row r="5">
          <cell r="G5" t="str">
            <v>%</v>
          </cell>
          <cell r="M5" t="str">
            <v>%</v>
          </cell>
        </row>
        <row r="6">
          <cell r="C6" t="str">
            <v>Sources</v>
          </cell>
          <cell r="E6" t="str">
            <v>$</v>
          </cell>
          <cell r="G6" t="str">
            <v>of Total</v>
          </cell>
          <cell r="I6" t="str">
            <v>Uses</v>
          </cell>
          <cell r="K6" t="str">
            <v>$</v>
          </cell>
          <cell r="M6" t="str">
            <v>of Total</v>
          </cell>
        </row>
        <row r="7">
          <cell r="C7" t="str">
            <v>Debt</v>
          </cell>
          <cell r="E7">
            <v>10</v>
          </cell>
          <cell r="G7">
            <v>0.21739130434782608</v>
          </cell>
          <cell r="I7" t="str">
            <v xml:space="preserve">CHEP Purchase Price </v>
          </cell>
          <cell r="K7" t="e">
            <v>#REF!</v>
          </cell>
          <cell r="M7" t="e">
            <v>#REF!</v>
          </cell>
        </row>
        <row r="8">
          <cell r="C8" t="str">
            <v>Prime Management Equity</v>
          </cell>
          <cell r="E8">
            <v>9.9554121999999996</v>
          </cell>
          <cell r="G8">
            <v>0.21642200434782607</v>
          </cell>
          <cell r="I8" t="str">
            <v xml:space="preserve">Prime Purchase Price </v>
          </cell>
          <cell r="K8">
            <v>43.2</v>
          </cell>
          <cell r="M8" t="e">
            <v>#REF!</v>
          </cell>
        </row>
        <row r="9">
          <cell r="C9" t="str">
            <v>AMCP Equity</v>
          </cell>
          <cell r="E9">
            <v>26.044587800000002</v>
          </cell>
          <cell r="G9">
            <v>0.56618669130434784</v>
          </cell>
          <cell r="I9" t="str">
            <v>Illustrative Fees</v>
          </cell>
          <cell r="K9">
            <v>2.8</v>
          </cell>
          <cell r="M9" t="e">
            <v>#REF!</v>
          </cell>
        </row>
        <row r="10">
          <cell r="C10" t="str">
            <v>Total</v>
          </cell>
          <cell r="E10">
            <v>46</v>
          </cell>
          <cell r="G10">
            <v>1</v>
          </cell>
          <cell r="I10" t="str">
            <v>Total</v>
          </cell>
          <cell r="K10" t="e">
            <v>#REF!</v>
          </cell>
          <cell r="M10" t="e">
            <v>#REF!</v>
          </cell>
        </row>
        <row r="13">
          <cell r="C13" t="str">
            <v>ROUNDED:</v>
          </cell>
        </row>
        <row r="15">
          <cell r="C15" t="str">
            <v>Sources and Uses</v>
          </cell>
        </row>
        <row r="16">
          <cell r="G16" t="str">
            <v>%</v>
          </cell>
          <cell r="M16" t="str">
            <v>%</v>
          </cell>
        </row>
        <row r="17">
          <cell r="C17" t="str">
            <v>Sources</v>
          </cell>
          <cell r="E17" t="str">
            <v>$</v>
          </cell>
          <cell r="G17" t="str">
            <v>of Total</v>
          </cell>
          <cell r="I17" t="str">
            <v>Uses</v>
          </cell>
          <cell r="K17" t="str">
            <v>$</v>
          </cell>
          <cell r="M17" t="str">
            <v>of Total</v>
          </cell>
        </row>
        <row r="18">
          <cell r="C18" t="str">
            <v>Debt</v>
          </cell>
          <cell r="E18">
            <v>60</v>
          </cell>
          <cell r="G18">
            <v>0.4</v>
          </cell>
          <cell r="I18" t="str">
            <v xml:space="preserve">CHEP Purchase Price </v>
          </cell>
          <cell r="K18">
            <v>105</v>
          </cell>
          <cell r="M18">
            <v>0.7</v>
          </cell>
        </row>
        <row r="19">
          <cell r="C19" t="str">
            <v>Prime Management Equity</v>
          </cell>
          <cell r="E19">
            <v>15</v>
          </cell>
          <cell r="G19">
            <v>0.1</v>
          </cell>
          <cell r="I19" t="str">
            <v xml:space="preserve">Prime Purchase Price </v>
          </cell>
          <cell r="K19">
            <v>37.5</v>
          </cell>
          <cell r="M19">
            <v>0.25</v>
          </cell>
        </row>
        <row r="20">
          <cell r="C20" t="str">
            <v>AMCP Equity</v>
          </cell>
          <cell r="E20">
            <v>75</v>
          </cell>
          <cell r="G20">
            <v>0.5</v>
          </cell>
          <cell r="I20" t="str">
            <v>Estimated Fees &amp; Expenses</v>
          </cell>
          <cell r="K20">
            <v>7.5</v>
          </cell>
          <cell r="M20">
            <v>0.05</v>
          </cell>
        </row>
        <row r="21">
          <cell r="C21" t="str">
            <v>Total</v>
          </cell>
          <cell r="E21">
            <v>150</v>
          </cell>
          <cell r="G21">
            <v>1</v>
          </cell>
          <cell r="I21" t="str">
            <v>Total</v>
          </cell>
          <cell r="K21">
            <v>150</v>
          </cell>
          <cell r="M21">
            <v>1</v>
          </cell>
        </row>
        <row r="24">
          <cell r="C24" t="str">
            <v>Sources and Uses</v>
          </cell>
        </row>
        <row r="25">
          <cell r="G25" t="str">
            <v>%</v>
          </cell>
          <cell r="M25" t="str">
            <v>%</v>
          </cell>
        </row>
        <row r="26">
          <cell r="C26" t="str">
            <v>Sources</v>
          </cell>
          <cell r="E26" t="str">
            <v>$</v>
          </cell>
          <cell r="G26" t="str">
            <v>of Total</v>
          </cell>
          <cell r="I26" t="str">
            <v>Uses</v>
          </cell>
          <cell r="K26" t="str">
            <v>$</v>
          </cell>
          <cell r="M26" t="str">
            <v>of Total</v>
          </cell>
        </row>
        <row r="27">
          <cell r="C27" t="str">
            <v>Financing</v>
          </cell>
          <cell r="E27">
            <v>10</v>
          </cell>
          <cell r="G27">
            <v>6.6666666666666666E-2</v>
          </cell>
          <cell r="I27" t="str">
            <v>Purchase Price</v>
          </cell>
          <cell r="K27">
            <v>43.2</v>
          </cell>
          <cell r="M27">
            <v>0.28800000000000003</v>
          </cell>
        </row>
        <row r="28">
          <cell r="C28" t="str">
            <v>Equity</v>
          </cell>
          <cell r="E28">
            <v>36</v>
          </cell>
          <cell r="G28">
            <v>0.24</v>
          </cell>
          <cell r="I28" t="str">
            <v>Estimated Fees &amp; Expenses</v>
          </cell>
          <cell r="K28">
            <v>2.8</v>
          </cell>
          <cell r="M28">
            <v>1.8666666666666665E-2</v>
          </cell>
        </row>
        <row r="29">
          <cell r="C29" t="str">
            <v>Total</v>
          </cell>
          <cell r="E29">
            <v>46</v>
          </cell>
          <cell r="G29">
            <v>0.30666666666666664</v>
          </cell>
          <cell r="I29" t="str">
            <v>Total</v>
          </cell>
          <cell r="K29">
            <v>46</v>
          </cell>
          <cell r="M29">
            <v>0.3066666666666667</v>
          </cell>
        </row>
      </sheetData>
      <sheetData sheetId="28">
        <row r="1">
          <cell r="A1" t="str">
            <v>EBITDA WATERFALL</v>
          </cell>
        </row>
        <row r="2">
          <cell r="X2" t="str">
            <v>CHEP</v>
          </cell>
          <cell r="Y2" t="e">
            <v>#REF!</v>
          </cell>
          <cell r="Z2">
            <v>115</v>
          </cell>
        </row>
        <row r="3">
          <cell r="X3" t="str">
            <v>PWC</v>
          </cell>
          <cell r="Y3">
            <v>32.200000000000003</v>
          </cell>
        </row>
        <row r="4">
          <cell r="X4" t="str">
            <v>Affiliated Businesses</v>
          </cell>
          <cell r="Y4">
            <v>11</v>
          </cell>
        </row>
        <row r="7">
          <cell r="X7" t="str">
            <v>Calendarization:</v>
          </cell>
        </row>
        <row r="8">
          <cell r="X8">
            <v>2017</v>
          </cell>
          <cell r="Y8">
            <v>0</v>
          </cell>
        </row>
        <row r="9">
          <cell r="X9">
            <v>2018</v>
          </cell>
          <cell r="Y9">
            <v>1</v>
          </cell>
        </row>
        <row r="10">
          <cell r="D10" t="str">
            <v>FISCAL YEAR ENDED JUNE 30</v>
          </cell>
        </row>
        <row r="12">
          <cell r="D12" t="str">
            <v>2017A</v>
          </cell>
          <cell r="J12" t="str">
            <v>2018E</v>
          </cell>
        </row>
        <row r="14">
          <cell r="A14" t="str">
            <v>($ in millions)</v>
          </cell>
          <cell r="C14" t="str">
            <v>AMCP/TAG/PEPI</v>
          </cell>
          <cell r="D14" t="str">
            <v>AMCP</v>
          </cell>
          <cell r="H14" t="str">
            <v>AMCP</v>
          </cell>
          <cell r="J14" t="str">
            <v>AMCP</v>
          </cell>
          <cell r="N14" t="str">
            <v>AMCP</v>
          </cell>
          <cell r="P14" t="str">
            <v>LTM June 2018</v>
          </cell>
          <cell r="R14" t="str">
            <v>LTM June 2018</v>
          </cell>
          <cell r="T14" t="str">
            <v>EV Multiple - AMCP Adj.</v>
          </cell>
        </row>
        <row r="15">
          <cell r="C15" t="str">
            <v>% Adj.</v>
          </cell>
          <cell r="D15" t="str">
            <v>Unadj.</v>
          </cell>
          <cell r="F15" t="str">
            <v xml:space="preserve">AMCP </v>
          </cell>
          <cell r="H15" t="str">
            <v>Adj.</v>
          </cell>
          <cell r="J15" t="str">
            <v>Unadj.</v>
          </cell>
          <cell r="L15" t="str">
            <v xml:space="preserve">AMCP </v>
          </cell>
          <cell r="N15" t="str">
            <v>Adj.</v>
          </cell>
          <cell r="P15" t="str">
            <v>AMCP Unadj.</v>
          </cell>
          <cell r="R15" t="str">
            <v>AMCP Adj.</v>
          </cell>
          <cell r="T15" t="str">
            <v>CHEP EV: $105MM</v>
          </cell>
          <cell r="V15" t="str">
            <v>CHEP EV: $115MM</v>
          </cell>
        </row>
        <row r="17">
          <cell r="A17" t="str">
            <v>CHEP RECYCLED:</v>
          </cell>
        </row>
        <row r="19">
          <cell r="A19" t="str">
            <v>CHEP Unadjusted EBITDA</v>
          </cell>
          <cell r="D19">
            <v>7.0625377825252755</v>
          </cell>
          <cell r="H19">
            <v>7.0625377825252755</v>
          </cell>
          <cell r="J19">
            <v>8.1431232340993933</v>
          </cell>
          <cell r="N19">
            <v>8.1431232340993933</v>
          </cell>
          <cell r="P19">
            <v>8.1431232340993933</v>
          </cell>
          <cell r="R19">
            <v>8.1431232340993933</v>
          </cell>
        </row>
        <row r="20">
          <cell r="A20" t="str">
            <v>% Margin</v>
          </cell>
          <cell r="D20">
            <v>1.7325456972871696E-2</v>
          </cell>
          <cell r="H20">
            <v>1.7325456972871696E-2</v>
          </cell>
          <cell r="J20" t="e">
            <v>#VALUE!</v>
          </cell>
          <cell r="N20" t="e">
            <v>#VALUE!</v>
          </cell>
          <cell r="P20" t="e">
            <v>#VALUE!</v>
          </cell>
          <cell r="R20" t="e">
            <v>#VALUE!</v>
          </cell>
        </row>
        <row r="22">
          <cell r="A22" t="str">
            <v>Estimated LTM Roll-forward Through June '18</v>
          </cell>
          <cell r="C22">
            <v>1</v>
          </cell>
          <cell r="J22">
            <v>0.4</v>
          </cell>
          <cell r="L22">
            <v>1</v>
          </cell>
          <cell r="N22">
            <v>0.4</v>
          </cell>
          <cell r="P22">
            <v>0.4</v>
          </cell>
          <cell r="R22">
            <v>0.4</v>
          </cell>
        </row>
        <row r="23">
          <cell r="A23" t="str">
            <v>Non-Recurring Items:</v>
          </cell>
        </row>
        <row r="25">
          <cell r="A25" t="str">
            <v>California Wage Legislation</v>
          </cell>
          <cell r="C25">
            <v>1</v>
          </cell>
          <cell r="D25">
            <v>0.5</v>
          </cell>
          <cell r="F25">
            <v>1</v>
          </cell>
          <cell r="H25">
            <v>0.5</v>
          </cell>
          <cell r="J25">
            <v>1</v>
          </cell>
          <cell r="L25">
            <v>1</v>
          </cell>
          <cell r="N25">
            <v>1</v>
          </cell>
          <cell r="P25">
            <v>1</v>
          </cell>
          <cell r="R25">
            <v>1</v>
          </cell>
        </row>
        <row r="26">
          <cell r="A26" t="str">
            <v>Gains / Losses on Sale of Assets</v>
          </cell>
          <cell r="C26">
            <v>1</v>
          </cell>
          <cell r="D26">
            <v>7.3904970000000042E-2</v>
          </cell>
          <cell r="F26">
            <v>1</v>
          </cell>
          <cell r="H26">
            <v>7.3904970000000042E-2</v>
          </cell>
          <cell r="J26">
            <v>0.10957054999999849</v>
          </cell>
          <cell r="L26">
            <v>1</v>
          </cell>
          <cell r="N26">
            <v>0.10957054999999849</v>
          </cell>
          <cell r="P26">
            <v>0.10957054999999849</v>
          </cell>
          <cell r="R26">
            <v>0.10957054999999849</v>
          </cell>
        </row>
        <row r="27">
          <cell r="A27" t="str">
            <v>Antioch Workers Comp Claim</v>
          </cell>
          <cell r="C27">
            <v>1</v>
          </cell>
          <cell r="D27">
            <v>0</v>
          </cell>
          <cell r="F27">
            <v>1</v>
          </cell>
          <cell r="H27">
            <v>0</v>
          </cell>
          <cell r="J27">
            <v>0.5</v>
          </cell>
          <cell r="L27">
            <v>1</v>
          </cell>
          <cell r="N27">
            <v>0.5</v>
          </cell>
          <cell r="P27">
            <v>0.5</v>
          </cell>
          <cell r="R27">
            <v>0.5</v>
          </cell>
        </row>
        <row r="28">
          <cell r="R28">
            <v>0</v>
          </cell>
        </row>
        <row r="29">
          <cell r="A29" t="str">
            <v>Out of Period Adjustments:</v>
          </cell>
        </row>
        <row r="30">
          <cell r="P30">
            <v>0</v>
          </cell>
          <cell r="R30">
            <v>0</v>
          </cell>
        </row>
        <row r="31">
          <cell r="A31" t="str">
            <v>THD AP adjustment</v>
          </cell>
          <cell r="C31">
            <v>1</v>
          </cell>
          <cell r="D31">
            <v>0</v>
          </cell>
          <cell r="F31">
            <v>1</v>
          </cell>
          <cell r="H31">
            <v>0</v>
          </cell>
          <cell r="J31">
            <v>0.33</v>
          </cell>
          <cell r="L31">
            <v>1</v>
          </cell>
          <cell r="N31">
            <v>0.33</v>
          </cell>
          <cell r="P31">
            <v>0.33</v>
          </cell>
          <cell r="R31">
            <v>0.33</v>
          </cell>
        </row>
        <row r="32">
          <cell r="A32" t="str">
            <v>Sales and Use Tax / VAT</v>
          </cell>
          <cell r="C32">
            <v>1</v>
          </cell>
          <cell r="D32">
            <v>-0.35699999999999998</v>
          </cell>
          <cell r="F32">
            <v>1</v>
          </cell>
          <cell r="H32">
            <v>-0.35699999999999998</v>
          </cell>
          <cell r="J32">
            <v>-0.35699999999999998</v>
          </cell>
          <cell r="L32">
            <v>1</v>
          </cell>
          <cell r="N32">
            <v>-0.35699999999999998</v>
          </cell>
          <cell r="P32">
            <v>-0.35699999999999998</v>
          </cell>
          <cell r="R32">
            <v>-0.35699999999999998</v>
          </cell>
        </row>
        <row r="33">
          <cell r="A33" t="str">
            <v>Bonus Accrual vs. Paid</v>
          </cell>
          <cell r="C33">
            <v>1</v>
          </cell>
          <cell r="D33">
            <v>-0.29399999999999998</v>
          </cell>
          <cell r="F33">
            <v>1</v>
          </cell>
          <cell r="H33">
            <v>-0.29399999999999998</v>
          </cell>
          <cell r="J33">
            <v>0</v>
          </cell>
          <cell r="L33">
            <v>1</v>
          </cell>
          <cell r="N33">
            <v>0</v>
          </cell>
          <cell r="P33">
            <v>0</v>
          </cell>
          <cell r="R33">
            <v>0</v>
          </cell>
        </row>
        <row r="34">
          <cell r="A34" t="str">
            <v>Workers Compensation</v>
          </cell>
          <cell r="C34">
            <v>1</v>
          </cell>
          <cell r="D34">
            <v>1.2</v>
          </cell>
          <cell r="F34">
            <v>1</v>
          </cell>
          <cell r="H34">
            <v>1.2</v>
          </cell>
          <cell r="J34">
            <v>1.1000000000000001</v>
          </cell>
          <cell r="L34">
            <v>1</v>
          </cell>
          <cell r="N34">
            <v>1.1000000000000001</v>
          </cell>
          <cell r="P34">
            <v>1.1000000000000001</v>
          </cell>
          <cell r="R34">
            <v>1.1000000000000001</v>
          </cell>
        </row>
        <row r="35">
          <cell r="A35" t="str">
            <v>Other</v>
          </cell>
          <cell r="C35">
            <v>1</v>
          </cell>
          <cell r="D35">
            <v>-0.39200000000000002</v>
          </cell>
          <cell r="F35">
            <v>1</v>
          </cell>
          <cell r="H35">
            <v>-0.39200000000000002</v>
          </cell>
          <cell r="J35">
            <v>-0.39200000000000002</v>
          </cell>
          <cell r="L35">
            <v>1</v>
          </cell>
          <cell r="N35">
            <v>-0.39200000000000002</v>
          </cell>
          <cell r="P35">
            <v>-0.39200000000000002</v>
          </cell>
          <cell r="R35">
            <v>-0.39200000000000002</v>
          </cell>
        </row>
        <row r="37">
          <cell r="A37" t="str">
            <v xml:space="preserve">CHEP Management Adjusted EBITDA: </v>
          </cell>
          <cell r="D37">
            <v>7.7934427525252756</v>
          </cell>
          <cell r="H37">
            <v>7.7934427525252756</v>
          </cell>
          <cell r="J37">
            <v>10.833693784099392</v>
          </cell>
          <cell r="N37">
            <v>10.833693784099392</v>
          </cell>
          <cell r="P37">
            <v>10.833693784099392</v>
          </cell>
          <cell r="R37">
            <v>10.833693784099392</v>
          </cell>
          <cell r="T37" t="e">
            <v>#REF!</v>
          </cell>
        </row>
        <row r="38">
          <cell r="A38" t="str">
            <v>% Margin</v>
          </cell>
          <cell r="D38">
            <v>1.9118475714707754E-2</v>
          </cell>
          <cell r="H38">
            <v>1.9118475714707754E-2</v>
          </cell>
          <cell r="J38" t="e">
            <v>#VALUE!</v>
          </cell>
          <cell r="N38" t="e">
            <v>#VALUE!</v>
          </cell>
          <cell r="P38" t="e">
            <v>#VALUE!</v>
          </cell>
          <cell r="R38" t="e">
            <v>#VALUE!</v>
          </cell>
        </row>
        <row r="39">
          <cell r="A39" t="str">
            <v>Pro Forma Adjustments:</v>
          </cell>
        </row>
        <row r="41">
          <cell r="A41" t="str">
            <v>Jacksonville Closure</v>
          </cell>
          <cell r="C41">
            <v>1</v>
          </cell>
          <cell r="D41">
            <v>0.45533747000000008</v>
          </cell>
          <cell r="F41">
            <v>1</v>
          </cell>
          <cell r="H41">
            <v>0.45533747000000008</v>
          </cell>
          <cell r="J41">
            <v>0.45240551999999984</v>
          </cell>
          <cell r="L41">
            <v>1</v>
          </cell>
          <cell r="N41">
            <v>0.45240551999999984</v>
          </cell>
          <cell r="P41">
            <v>0.45240551999999984</v>
          </cell>
          <cell r="R41">
            <v>0.45240551999999984</v>
          </cell>
        </row>
        <row r="42">
          <cell r="A42" t="str">
            <v>PetSmart Arrangement</v>
          </cell>
          <cell r="C42">
            <v>1.2</v>
          </cell>
          <cell r="D42">
            <v>-1.1399999999999999</v>
          </cell>
          <cell r="F42">
            <v>1.2</v>
          </cell>
          <cell r="H42">
            <v>-1.3679999999999999</v>
          </cell>
          <cell r="J42">
            <v>-0.76</v>
          </cell>
          <cell r="L42">
            <v>1.2</v>
          </cell>
          <cell r="N42">
            <v>-0.91199999999999992</v>
          </cell>
          <cell r="P42">
            <v>-0.76</v>
          </cell>
          <cell r="R42">
            <v>-0.91199999999999992</v>
          </cell>
        </row>
        <row r="43">
          <cell r="A43" t="str">
            <v xml:space="preserve">Chep - Blue Pallet Recovery Fees </v>
          </cell>
          <cell r="C43">
            <v>1</v>
          </cell>
          <cell r="D43">
            <v>-0.38534800000000008</v>
          </cell>
          <cell r="F43">
            <v>1</v>
          </cell>
          <cell r="H43">
            <v>-0.38534800000000008</v>
          </cell>
          <cell r="J43">
            <v>-0.33756000000000008</v>
          </cell>
          <cell r="L43">
            <v>1</v>
          </cell>
          <cell r="N43">
            <v>-0.33756000000000008</v>
          </cell>
          <cell r="P43">
            <v>-0.33756000000000008</v>
          </cell>
          <cell r="R43">
            <v>-0.33756000000000008</v>
          </cell>
        </row>
        <row r="45">
          <cell r="A45" t="str">
            <v xml:space="preserve">CHEP Pro Forma Adjusted EBITDA: </v>
          </cell>
          <cell r="D45">
            <v>6.7234322225252754</v>
          </cell>
          <cell r="H45">
            <v>6.4954322225252756</v>
          </cell>
          <cell r="J45">
            <v>10.188539304099391</v>
          </cell>
          <cell r="N45">
            <v>10.036539304099392</v>
          </cell>
          <cell r="P45">
            <v>10.188539304099391</v>
          </cell>
          <cell r="R45">
            <v>10.036539304099392</v>
          </cell>
        </row>
        <row r="46">
          <cell r="A46" t="str">
            <v>% Margin</v>
          </cell>
          <cell r="D46">
            <v>1.6493580532709017E-2</v>
          </cell>
          <cell r="H46">
            <v>1.593426257768318E-2</v>
          </cell>
          <cell r="J46" t="e">
            <v>#VALUE!</v>
          </cell>
          <cell r="N46" t="e">
            <v>#VALUE!</v>
          </cell>
          <cell r="P46" t="e">
            <v>#VALUE!</v>
          </cell>
          <cell r="R46" t="e">
            <v>#VALUE!</v>
          </cell>
        </row>
        <row r="48">
          <cell r="A48" t="str">
            <v>Standalone Costs:</v>
          </cell>
        </row>
        <row r="50">
          <cell r="A50" t="str">
            <v>NAHQ Allocation</v>
          </cell>
          <cell r="C50">
            <v>1</v>
          </cell>
          <cell r="D50">
            <v>2.6486004200000006</v>
          </cell>
          <cell r="F50">
            <v>1</v>
          </cell>
          <cell r="H50">
            <v>2.6486004200000006</v>
          </cell>
          <cell r="J50">
            <v>2.5684706099999999</v>
          </cell>
          <cell r="L50">
            <v>1</v>
          </cell>
          <cell r="N50">
            <v>2.5684706099999999</v>
          </cell>
          <cell r="P50">
            <v>2.5684706099999999</v>
          </cell>
          <cell r="R50">
            <v>2.5684706099999999</v>
          </cell>
        </row>
        <row r="51">
          <cell r="A51" t="str">
            <v>Global / CS Allocation</v>
          </cell>
          <cell r="C51">
            <v>1</v>
          </cell>
          <cell r="D51">
            <v>0.51708236000000007</v>
          </cell>
          <cell r="F51">
            <v>1</v>
          </cell>
          <cell r="H51">
            <v>0.51708236000000007</v>
          </cell>
          <cell r="J51">
            <v>0.27048171999999998</v>
          </cell>
          <cell r="L51">
            <v>1</v>
          </cell>
          <cell r="N51">
            <v>0.27048171999999998</v>
          </cell>
          <cell r="P51">
            <v>0.27048171999999998</v>
          </cell>
          <cell r="R51">
            <v>0.27048171999999998</v>
          </cell>
        </row>
        <row r="52">
          <cell r="A52" t="str">
            <v>IT Allocation</v>
          </cell>
          <cell r="C52">
            <v>1</v>
          </cell>
          <cell r="D52">
            <v>2.3320450500000001</v>
          </cell>
          <cell r="F52">
            <v>1</v>
          </cell>
          <cell r="H52">
            <v>2.3320450500000001</v>
          </cell>
          <cell r="J52">
            <v>2.5444399199999999</v>
          </cell>
          <cell r="L52">
            <v>1</v>
          </cell>
          <cell r="N52">
            <v>2.5444399199999999</v>
          </cell>
          <cell r="P52">
            <v>2.5444399199999999</v>
          </cell>
          <cell r="R52">
            <v>2.5444399199999999</v>
          </cell>
        </row>
        <row r="53">
          <cell r="A53" t="str">
            <v>GFS Allocation</v>
          </cell>
          <cell r="C53">
            <v>1</v>
          </cell>
          <cell r="D53">
            <v>1.4855772099999998</v>
          </cell>
          <cell r="F53">
            <v>1</v>
          </cell>
          <cell r="H53">
            <v>1.4855772099999998</v>
          </cell>
          <cell r="J53">
            <v>1.5910871099999997</v>
          </cell>
          <cell r="L53">
            <v>1</v>
          </cell>
          <cell r="N53">
            <v>1.5910871099999997</v>
          </cell>
          <cell r="P53">
            <v>1.5910871099999997</v>
          </cell>
          <cell r="R53">
            <v>1.5910871099999997</v>
          </cell>
        </row>
        <row r="54">
          <cell r="A54" t="str">
            <v>HR Allocation</v>
          </cell>
          <cell r="C54">
            <v>1</v>
          </cell>
          <cell r="D54">
            <v>0.58347645999999986</v>
          </cell>
          <cell r="F54">
            <v>1</v>
          </cell>
          <cell r="H54">
            <v>0.58347645999999986</v>
          </cell>
          <cell r="J54">
            <v>0.80899940000000015</v>
          </cell>
          <cell r="L54">
            <v>1</v>
          </cell>
          <cell r="N54">
            <v>0.80899940000000015</v>
          </cell>
          <cell r="P54">
            <v>0.80899940000000015</v>
          </cell>
          <cell r="R54">
            <v>0.80899940000000015</v>
          </cell>
        </row>
        <row r="55">
          <cell r="A55" t="str">
            <v xml:space="preserve">IFCO RPC Recovery </v>
          </cell>
          <cell r="C55">
            <v>1</v>
          </cell>
          <cell r="D55">
            <v>-0.38400000000000001</v>
          </cell>
          <cell r="F55">
            <v>1</v>
          </cell>
          <cell r="H55">
            <v>-0.38400000000000001</v>
          </cell>
          <cell r="J55">
            <v>-0.38815399999999994</v>
          </cell>
          <cell r="L55">
            <v>1</v>
          </cell>
          <cell r="N55">
            <v>-0.38815399999999994</v>
          </cell>
          <cell r="P55">
            <v>-0.38815399999999994</v>
          </cell>
          <cell r="R55">
            <v>-0.38815399999999994</v>
          </cell>
        </row>
        <row r="56">
          <cell r="A56" t="str">
            <v xml:space="preserve">IT </v>
          </cell>
          <cell r="C56">
            <v>1.3048585299317943</v>
          </cell>
          <cell r="D56">
            <v>-1.078290395289395</v>
          </cell>
          <cell r="F56">
            <v>1.3048585299317943</v>
          </cell>
          <cell r="H56">
            <v>-1.4070164200368933</v>
          </cell>
          <cell r="J56">
            <v>-1.082492827842289</v>
          </cell>
          <cell r="L56">
            <v>1.3048585299317943</v>
          </cell>
          <cell r="N56">
            <v>-1.4125000000000001</v>
          </cell>
          <cell r="P56">
            <v>-1.082492827842289</v>
          </cell>
          <cell r="R56">
            <v>-1.4125000000000001</v>
          </cell>
        </row>
        <row r="57">
          <cell r="A57" t="str">
            <v>Finance</v>
          </cell>
          <cell r="C57">
            <v>1.0183097731218238</v>
          </cell>
          <cell r="D57">
            <v>-1.6435968932038834</v>
          </cell>
          <cell r="F57">
            <v>1.0183097731218238</v>
          </cell>
          <cell r="H57">
            <v>-1.6736907794221809</v>
          </cell>
          <cell r="J57">
            <v>-1.658782862135922</v>
          </cell>
          <cell r="L57">
            <v>1.0183097731218238</v>
          </cell>
          <cell r="N57">
            <v>-1.6891548000000003</v>
          </cell>
          <cell r="P57">
            <v>-1.658782862135922</v>
          </cell>
          <cell r="R57">
            <v>-1.6891548000000003</v>
          </cell>
        </row>
        <row r="58">
          <cell r="A58" t="str">
            <v>HR</v>
          </cell>
          <cell r="C58">
            <v>1.0151055726981215</v>
          </cell>
          <cell r="D58">
            <v>-1.1716780582524269</v>
          </cell>
          <cell r="F58">
            <v>1.0151055726981215</v>
          </cell>
          <cell r="H58">
            <v>-1.1893769263401528</v>
          </cell>
          <cell r="J58">
            <v>-1.1805948388349514</v>
          </cell>
          <cell r="L58">
            <v>1.0151055726981215</v>
          </cell>
          <cell r="N58">
            <v>-1.1984283999999998</v>
          </cell>
          <cell r="P58">
            <v>-1.1805948388349514</v>
          </cell>
          <cell r="R58">
            <v>-1.1984283999999998</v>
          </cell>
        </row>
        <row r="59">
          <cell r="A59" t="str">
            <v>Sales</v>
          </cell>
          <cell r="C59" t="str">
            <v>PEPI Addition</v>
          </cell>
          <cell r="D59">
            <v>0</v>
          </cell>
          <cell r="H59">
            <v>-0.28443040000000003</v>
          </cell>
          <cell r="J59">
            <v>0</v>
          </cell>
          <cell r="N59">
            <v>-0.28443040000000003</v>
          </cell>
          <cell r="P59">
            <v>0</v>
          </cell>
          <cell r="R59">
            <v>-0.28443040000000003</v>
          </cell>
        </row>
        <row r="60">
          <cell r="A60" t="str">
            <v>Core Operations</v>
          </cell>
          <cell r="C60" t="str">
            <v>PEPI Addition</v>
          </cell>
          <cell r="D60">
            <v>0</v>
          </cell>
          <cell r="H60">
            <v>-9.2999999999999999E-2</v>
          </cell>
          <cell r="J60">
            <v>0</v>
          </cell>
          <cell r="N60">
            <v>-9.2999999999999999E-2</v>
          </cell>
          <cell r="P60">
            <v>0</v>
          </cell>
          <cell r="R60">
            <v>-9.2999999999999999E-2</v>
          </cell>
        </row>
        <row r="62">
          <cell r="A62" t="str">
            <v xml:space="preserve">CHEP Standalone Pro Forma Adjusted EBITDA: </v>
          </cell>
          <cell r="D62">
            <v>10.01264837577957</v>
          </cell>
          <cell r="H62">
            <v>9.0306991967260473</v>
          </cell>
          <cell r="J62">
            <v>13.661993535286229</v>
          </cell>
          <cell r="N62">
            <v>12.754350464099391</v>
          </cell>
          <cell r="P62">
            <v>13.661993535286229</v>
          </cell>
          <cell r="R62">
            <v>12.754350464099391</v>
          </cell>
          <cell r="T62" t="e">
            <v>#REF!</v>
          </cell>
          <cell r="V62">
            <v>9.0165312866146312</v>
          </cell>
        </row>
        <row r="63">
          <cell r="A63" t="str">
            <v>% Margin</v>
          </cell>
          <cell r="D63">
            <v>2.4562517604972797E-2</v>
          </cell>
          <cell r="H63">
            <v>2.2153650031431063E-2</v>
          </cell>
          <cell r="J63" t="e">
            <v>#VALUE!</v>
          </cell>
          <cell r="N63" t="e">
            <v>#VALUE!</v>
          </cell>
          <cell r="P63" t="e">
            <v>#VALUE!</v>
          </cell>
          <cell r="R63" t="e">
            <v>#VALUE!</v>
          </cell>
        </row>
        <row r="65">
          <cell r="A65" t="str">
            <v>Paramount Pallets</v>
          </cell>
          <cell r="C65">
            <v>1</v>
          </cell>
          <cell r="D65">
            <v>0</v>
          </cell>
          <cell r="F65">
            <v>1</v>
          </cell>
          <cell r="H65">
            <v>0</v>
          </cell>
          <cell r="J65">
            <v>0</v>
          </cell>
          <cell r="L65">
            <v>1</v>
          </cell>
          <cell r="N65">
            <v>0</v>
          </cell>
          <cell r="P65">
            <v>0</v>
          </cell>
          <cell r="R65">
            <v>0</v>
          </cell>
          <cell r="AA65" t="str">
            <v>OCF Calculations:</v>
          </cell>
        </row>
        <row r="67">
          <cell r="A67" t="str">
            <v>Total CHEP Recycled</v>
          </cell>
          <cell r="P67">
            <v>13.661993535286229</v>
          </cell>
          <cell r="R67">
            <v>12.754350464099391</v>
          </cell>
          <cell r="T67" t="e">
            <v>#REF!</v>
          </cell>
          <cell r="V67">
            <v>9.0165312866146312</v>
          </cell>
          <cell r="AA67">
            <v>8.9543504640993916</v>
          </cell>
          <cell r="AB67" t="e">
            <v>#REF!</v>
          </cell>
        </row>
        <row r="69">
          <cell r="A69" t="str">
            <v>PRIME WOODCRAFT:</v>
          </cell>
        </row>
        <row r="71">
          <cell r="A71" t="str">
            <v>PWC Unadjusted EBITDA</v>
          </cell>
          <cell r="P71">
            <v>3.9405600000000001</v>
          </cell>
          <cell r="R71">
            <v>3.9405600000000001</v>
          </cell>
        </row>
        <row r="72">
          <cell r="A72" t="str">
            <v>% Margin</v>
          </cell>
          <cell r="P72">
            <v>6.1188819875776394E-2</v>
          </cell>
          <cell r="R72">
            <v>6.1188819875776394E-2</v>
          </cell>
        </row>
        <row r="74">
          <cell r="A74" t="str">
            <v>Adjustments:</v>
          </cell>
        </row>
        <row r="75">
          <cell r="A75" t="str">
            <v>Estimated LTM Roll-forward Through December '17</v>
          </cell>
          <cell r="C75">
            <v>1</v>
          </cell>
          <cell r="P75">
            <v>0</v>
          </cell>
          <cell r="R75">
            <v>0</v>
          </cell>
        </row>
        <row r="76">
          <cell r="A76" t="str">
            <v>Travel Expenses</v>
          </cell>
          <cell r="C76">
            <v>1</v>
          </cell>
          <cell r="P76">
            <v>0.23368900000000001</v>
          </cell>
          <cell r="R76">
            <v>0.23368900000000001</v>
          </cell>
        </row>
        <row r="77">
          <cell r="A77" t="str">
            <v>Marketing</v>
          </cell>
          <cell r="C77">
            <v>1</v>
          </cell>
          <cell r="P77">
            <v>0.14865999999999999</v>
          </cell>
          <cell r="R77">
            <v>0.14865999999999999</v>
          </cell>
        </row>
        <row r="78">
          <cell r="A78" t="str">
            <v>Rent</v>
          </cell>
          <cell r="C78">
            <v>1</v>
          </cell>
          <cell r="P78">
            <v>0.14050000000000001</v>
          </cell>
          <cell r="R78">
            <v>0.14050000000000001</v>
          </cell>
        </row>
        <row r="79">
          <cell r="A79" t="str">
            <v>Trailer Leases</v>
          </cell>
          <cell r="C79">
            <v>1</v>
          </cell>
          <cell r="P79">
            <v>5.9580000000000001E-2</v>
          </cell>
          <cell r="R79">
            <v>5.9580000000000001E-2</v>
          </cell>
        </row>
        <row r="80">
          <cell r="A80" t="str">
            <v xml:space="preserve">Other </v>
          </cell>
          <cell r="C80">
            <v>1</v>
          </cell>
          <cell r="P80">
            <v>0.107584</v>
          </cell>
          <cell r="R80">
            <v>0.107584</v>
          </cell>
        </row>
        <row r="82">
          <cell r="A82" t="str">
            <v xml:space="preserve">PWC Adjusted EBITDA: </v>
          </cell>
          <cell r="P82">
            <v>4.6305730000000001</v>
          </cell>
          <cell r="R82">
            <v>4.6305730000000001</v>
          </cell>
          <cell r="T82">
            <v>6.9537830415371928</v>
          </cell>
          <cell r="V82">
            <v>6.9537830415371928</v>
          </cell>
          <cell r="AA82">
            <v>3.1305730000000001</v>
          </cell>
          <cell r="AB82">
            <v>10.285656970784583</v>
          </cell>
        </row>
        <row r="83">
          <cell r="A83" t="str">
            <v>% Margin</v>
          </cell>
          <cell r="P83">
            <v>7.1903307453416138E-2</v>
          </cell>
          <cell r="R83">
            <v>7.1903307453416138E-2</v>
          </cell>
        </row>
        <row r="85">
          <cell r="A85" t="str">
            <v>Recent Contract Wins</v>
          </cell>
          <cell r="C85">
            <v>0</v>
          </cell>
          <cell r="P85">
            <v>3.1</v>
          </cell>
          <cell r="R85">
            <v>0</v>
          </cell>
        </row>
        <row r="87">
          <cell r="A87" t="str">
            <v>River City Wood (Broker)</v>
          </cell>
          <cell r="C87">
            <v>1</v>
          </cell>
          <cell r="P87">
            <v>1.5</v>
          </cell>
          <cell r="R87">
            <v>1.5</v>
          </cell>
        </row>
        <row r="89">
          <cell r="A89" t="str">
            <v>Supplyside USA</v>
          </cell>
          <cell r="C89">
            <v>1</v>
          </cell>
          <cell r="P89">
            <v>1.1000000000000001</v>
          </cell>
          <cell r="R89">
            <v>1.1000000000000001</v>
          </cell>
        </row>
        <row r="91">
          <cell r="A91" t="str">
            <v>Packaging Supplies</v>
          </cell>
          <cell r="C91">
            <v>1</v>
          </cell>
          <cell r="P91">
            <v>0.2</v>
          </cell>
          <cell r="R91">
            <v>0.2</v>
          </cell>
        </row>
        <row r="93">
          <cell r="A93" t="str">
            <v>Total PWC &amp; Affiliated Companies</v>
          </cell>
          <cell r="P93">
            <v>10.530572999999999</v>
          </cell>
          <cell r="R93">
            <v>7.4305729999999999</v>
          </cell>
          <cell r="T93">
            <v>5.8138181268120244</v>
          </cell>
          <cell r="V93">
            <v>5.8138181268120244</v>
          </cell>
          <cell r="AA93">
            <v>5.3305729999999993</v>
          </cell>
          <cell r="AB93">
            <v>8.104194427128192</v>
          </cell>
        </row>
        <row r="95">
          <cell r="A95" t="str">
            <v xml:space="preserve">COMBINED: CHEP Recycled + PWC &amp; Affiliates </v>
          </cell>
          <cell r="P95">
            <v>24.192566535286225</v>
          </cell>
          <cell r="R95">
            <v>20.184923464099391</v>
          </cell>
          <cell r="T95" t="e">
            <v>#REF!</v>
          </cell>
          <cell r="V95">
            <v>7.8375328141011877</v>
          </cell>
          <cell r="AA95">
            <v>14.284923464099393</v>
          </cell>
          <cell r="AB95" t="e">
            <v>#REF!</v>
          </cell>
        </row>
        <row r="97">
          <cell r="A97" t="str">
            <v>SYNERGIES (PER A&amp;M PEPI):</v>
          </cell>
        </row>
        <row r="99">
          <cell r="A99" t="str">
            <v>Duplicative Overhead Positions - Tier 1</v>
          </cell>
          <cell r="C99">
            <v>0.8589913071516091</v>
          </cell>
          <cell r="P99">
            <v>0.77534999999999998</v>
          </cell>
          <cell r="R99">
            <v>0.66601891000000013</v>
          </cell>
        </row>
        <row r="100">
          <cell r="A100" t="str">
            <v xml:space="preserve">Lease cost savings - duplicate operating facilities - Tier 1 </v>
          </cell>
          <cell r="C100">
            <v>1.8746462281970231</v>
          </cell>
          <cell r="P100">
            <v>0.95627251000000002</v>
          </cell>
          <cell r="R100">
            <v>1.792672654</v>
          </cell>
        </row>
        <row r="101">
          <cell r="A101" t="str">
            <v>Captured brokerage margin - Tier 1</v>
          </cell>
          <cell r="C101">
            <v>0.7</v>
          </cell>
          <cell r="P101">
            <v>2.5</v>
          </cell>
          <cell r="R101">
            <v>1.75</v>
          </cell>
        </row>
        <row r="102">
          <cell r="A102" t="str">
            <v>Headcount Redundancy / PEO Elimination</v>
          </cell>
          <cell r="C102" t="str">
            <v>PEPI Addition</v>
          </cell>
          <cell r="P102">
            <v>0</v>
          </cell>
          <cell r="R102">
            <v>1.131</v>
          </cell>
        </row>
        <row r="103">
          <cell r="A103" t="str">
            <v xml:space="preserve">Total Estimated Synergies: </v>
          </cell>
          <cell r="P103">
            <v>4.2316225100000002</v>
          </cell>
          <cell r="R103">
            <v>5.3396915640000007</v>
          </cell>
        </row>
        <row r="105">
          <cell r="A105" t="str">
            <v>COMBINED: CHEP Recycled + PWC &amp; Affiliates (Synergized)</v>
          </cell>
          <cell r="P105">
            <v>28.424189045286226</v>
          </cell>
          <cell r="R105">
            <v>25.52461502809939</v>
          </cell>
          <cell r="T105" t="e">
            <v>#REF!</v>
          </cell>
          <cell r="V105">
            <v>6.1979387280020362</v>
          </cell>
          <cell r="AA105">
            <v>19.624615028099392</v>
          </cell>
          <cell r="AB105" t="e">
            <v>#REF!</v>
          </cell>
        </row>
        <row r="107">
          <cell r="A107" t="str">
            <v>OPERATIONAL IMPROVEMENT OPPORTUNITIES:</v>
          </cell>
        </row>
        <row r="109">
          <cell r="A109" t="str">
            <v xml:space="preserve">Additional Recycling Volumes Through I.H.S. </v>
          </cell>
          <cell r="C109">
            <v>1</v>
          </cell>
          <cell r="P109">
            <v>1.2</v>
          </cell>
          <cell r="R109">
            <v>1.2</v>
          </cell>
        </row>
        <row r="110">
          <cell r="A110" t="str">
            <v>TPM</v>
          </cell>
          <cell r="C110">
            <v>0.73739200000000005</v>
          </cell>
          <cell r="P110">
            <v>0.5</v>
          </cell>
          <cell r="R110">
            <v>0.36869600000000002</v>
          </cell>
        </row>
        <row r="111">
          <cell r="A111" t="str">
            <v xml:space="preserve">Transportation Efficiencies (Leases, Backhauls, Common Carrier) - Tier 1 </v>
          </cell>
          <cell r="C111">
            <v>1</v>
          </cell>
          <cell r="P111">
            <v>0.5</v>
          </cell>
          <cell r="R111">
            <v>0.5</v>
          </cell>
        </row>
        <row r="112">
          <cell r="A112" t="str">
            <v>Benefits, Insurance, Other - Tier 1</v>
          </cell>
          <cell r="C112">
            <v>1</v>
          </cell>
          <cell r="P112">
            <v>1</v>
          </cell>
          <cell r="R112">
            <v>1</v>
          </cell>
        </row>
        <row r="113">
          <cell r="A113" t="str">
            <v xml:space="preserve">Purchasing synergies - cores, other items - Tier 2 </v>
          </cell>
          <cell r="C113">
            <v>0.5</v>
          </cell>
          <cell r="P113">
            <v>1</v>
          </cell>
          <cell r="R113">
            <v>0.5</v>
          </cell>
        </row>
        <row r="114">
          <cell r="A114" t="str">
            <v>Price per Pallet Work Rate ($2.00 @ CHEP vs. $1.50 @ PWC)</v>
          </cell>
          <cell r="C114">
            <v>1</v>
          </cell>
          <cell r="P114">
            <v>6</v>
          </cell>
          <cell r="R114">
            <v>6</v>
          </cell>
        </row>
        <row r="115">
          <cell r="A115" t="str">
            <v xml:space="preserve">Shutter Unprofitable Facilities </v>
          </cell>
          <cell r="C115">
            <v>1</v>
          </cell>
          <cell r="P115">
            <v>2</v>
          </cell>
          <cell r="R115">
            <v>2</v>
          </cell>
        </row>
        <row r="116">
          <cell r="A116" t="str">
            <v>CHEP Re-win 3 ID'ed Lost Customers (Home Depot, Walmart and Target)</v>
          </cell>
          <cell r="C116">
            <v>1</v>
          </cell>
          <cell r="P116">
            <v>2.5</v>
          </cell>
          <cell r="R116">
            <v>2.5</v>
          </cell>
        </row>
        <row r="117">
          <cell r="A117" t="str">
            <v xml:space="preserve">Mixed Sort Opportunity (CHEP, Peco and iGPS) - Conflict Removed </v>
          </cell>
          <cell r="C117">
            <v>1</v>
          </cell>
          <cell r="P117">
            <v>0</v>
          </cell>
          <cell r="R117">
            <v>0</v>
          </cell>
        </row>
        <row r="119">
          <cell r="A119" t="str">
            <v xml:space="preserve">Total Operational Improvement Opportunities: </v>
          </cell>
          <cell r="P119">
            <v>14.7</v>
          </cell>
          <cell r="R119">
            <v>14.068695999999999</v>
          </cell>
        </row>
        <row r="121">
          <cell r="A121" t="str">
            <v xml:space="preserve">TOTAL 2017E COMBINED STANDALONE PF ADJUSTED EBITDA </v>
          </cell>
          <cell r="P121">
            <v>43.124189045286229</v>
          </cell>
          <cell r="R121">
            <v>39.593311028099393</v>
          </cell>
          <cell r="T121" t="e">
            <v>#REF!</v>
          </cell>
          <cell r="V121">
            <v>3.9956244095808349</v>
          </cell>
          <cell r="AA121">
            <v>33.693311028099394</v>
          </cell>
          <cell r="AB121" t="e">
            <v>#REF!</v>
          </cell>
        </row>
        <row r="124">
          <cell r="A124" t="str">
            <v>Note: Latest estimate of CHEP FY2018E Standalone PF Adjusted EBITDA is $12 million - $14 million.</v>
          </cell>
        </row>
        <row r="128">
          <cell r="A128" t="str">
            <v>CHEP Revenue: US ONLY</v>
          </cell>
          <cell r="D128">
            <v>407.6393363582755</v>
          </cell>
          <cell r="H128">
            <v>407.6393363582755</v>
          </cell>
          <cell r="J128" t="e">
            <v>#VALUE!</v>
          </cell>
          <cell r="N128" t="e">
            <v>#VALUE!</v>
          </cell>
          <cell r="P128" t="e">
            <v>#VALUE!</v>
          </cell>
          <cell r="R128" t="e">
            <v>#VALUE!</v>
          </cell>
        </row>
        <row r="129">
          <cell r="A129" t="str">
            <v>PWC Revenue:</v>
          </cell>
          <cell r="P129">
            <v>64.400000000000006</v>
          </cell>
          <cell r="R129">
            <v>64.400000000000006</v>
          </cell>
        </row>
      </sheetData>
      <sheetData sheetId="29">
        <row r="4">
          <cell r="D4" t="str">
            <v>LTM</v>
          </cell>
        </row>
        <row r="5">
          <cell r="D5" t="str">
            <v xml:space="preserve">Adj. EBITDA </v>
          </cell>
        </row>
        <row r="6">
          <cell r="B6" t="str">
            <v>Prime</v>
          </cell>
          <cell r="D6">
            <v>4.6305730000000001</v>
          </cell>
        </row>
        <row r="7">
          <cell r="B7" t="str">
            <v>Prime Affiliates</v>
          </cell>
          <cell r="D7">
            <v>2.8000000000000003</v>
          </cell>
        </row>
        <row r="8">
          <cell r="B8" t="str">
            <v>Combined EBITDA</v>
          </cell>
          <cell r="D8">
            <v>7.4305730000000008</v>
          </cell>
        </row>
        <row r="11">
          <cell r="B11" t="str">
            <v>Sources and Uses</v>
          </cell>
        </row>
        <row r="12">
          <cell r="F12" t="str">
            <v>Mult. of</v>
          </cell>
          <cell r="H12" t="str">
            <v>%</v>
          </cell>
        </row>
        <row r="13">
          <cell r="B13" t="str">
            <v>Sources:</v>
          </cell>
          <cell r="D13" t="str">
            <v>$</v>
          </cell>
          <cell r="F13" t="str">
            <v>Adj. EBITDA</v>
          </cell>
          <cell r="H13" t="str">
            <v>Ownership</v>
          </cell>
        </row>
        <row r="14">
          <cell r="B14" t="str">
            <v>Senior Debt</v>
          </cell>
          <cell r="D14">
            <v>15</v>
          </cell>
          <cell r="F14">
            <v>2.0186868495875081</v>
          </cell>
          <cell r="H14" t="str">
            <v>-</v>
          </cell>
        </row>
        <row r="15">
          <cell r="B15" t="str">
            <v>Sub Debt</v>
          </cell>
          <cell r="D15">
            <v>0</v>
          </cell>
          <cell r="F15">
            <v>0</v>
          </cell>
          <cell r="H15" t="str">
            <v>-</v>
          </cell>
        </row>
        <row r="16">
          <cell r="B16" t="str">
            <v>Prime Mgmt Rollover (1)</v>
          </cell>
          <cell r="D16">
            <v>9.9554121999999996</v>
          </cell>
          <cell r="F16">
            <v>1.3397906460242028</v>
          </cell>
          <cell r="H16">
            <v>0.31908372435897436</v>
          </cell>
        </row>
        <row r="17">
          <cell r="B17" t="str">
            <v>Affiliated Prime Companies Rollover (2)</v>
          </cell>
          <cell r="D17">
            <v>0</v>
          </cell>
          <cell r="F17">
            <v>0</v>
          </cell>
          <cell r="H17">
            <v>0</v>
          </cell>
        </row>
        <row r="18">
          <cell r="B18" t="str">
            <v>AMCP Equity</v>
          </cell>
          <cell r="D18">
            <v>21.244587799999998</v>
          </cell>
          <cell r="F18">
            <v>2.8590780011178136</v>
          </cell>
          <cell r="H18">
            <v>0.68091627564102564</v>
          </cell>
        </row>
        <row r="19">
          <cell r="B19" t="str">
            <v>Total</v>
          </cell>
          <cell r="D19">
            <v>46.199999999999996</v>
          </cell>
          <cell r="F19">
            <v>6.2175554967295241</v>
          </cell>
          <cell r="H19">
            <v>1</v>
          </cell>
        </row>
        <row r="21">
          <cell r="F21" t="str">
            <v>Mult. of</v>
          </cell>
          <cell r="H21" t="str">
            <v>%</v>
          </cell>
        </row>
        <row r="22">
          <cell r="B22" t="str">
            <v>Uses:</v>
          </cell>
          <cell r="D22" t="str">
            <v>$</v>
          </cell>
          <cell r="F22" t="str">
            <v>Adj. EBITDA(2)</v>
          </cell>
          <cell r="H22" t="str">
            <v>of Total</v>
          </cell>
        </row>
        <row r="23">
          <cell r="B23" t="str">
            <v>Prime Purchase Price</v>
          </cell>
          <cell r="D23">
            <v>32.199999999999996</v>
          </cell>
          <cell r="F23">
            <v>6.9537830415371911</v>
          </cell>
          <cell r="H23">
            <v>0.69696969696969691</v>
          </cell>
        </row>
        <row r="24">
          <cell r="B24" t="str">
            <v xml:space="preserve">Prime Affiliated Businesses Purchase Price </v>
          </cell>
          <cell r="D24">
            <v>11</v>
          </cell>
          <cell r="F24">
            <v>3.9285714285714284</v>
          </cell>
          <cell r="H24">
            <v>0.23809523809523811</v>
          </cell>
        </row>
        <row r="25">
          <cell r="B25" t="str">
            <v>Fees &amp; Expenses</v>
          </cell>
          <cell r="D25">
            <v>3</v>
          </cell>
          <cell r="F25">
            <v>0.40373736991750159</v>
          </cell>
          <cell r="H25">
            <v>6.4935064935064943E-2</v>
          </cell>
        </row>
        <row r="26">
          <cell r="B26" t="str">
            <v>Total</v>
          </cell>
          <cell r="D26">
            <v>46.199999999999996</v>
          </cell>
          <cell r="F26">
            <v>6.2175554967295241</v>
          </cell>
          <cell r="H26">
            <v>1</v>
          </cell>
        </row>
        <row r="28">
          <cell r="B28" t="str">
            <v>(1) Assumes Prime's owners rollover approximately $10.0mm of their proceeds.</v>
          </cell>
        </row>
        <row r="29">
          <cell r="B29" t="str">
            <v xml:space="preserve">(2) Prime and Prime Affiliates purchase multiples based on respective standalone Adj. EBITDAs. </v>
          </cell>
        </row>
        <row r="32">
          <cell r="B32" t="str">
            <v>Pro Forma Capitalization at Close</v>
          </cell>
        </row>
        <row r="33">
          <cell r="B33" t="str">
            <v>($ in mm)</v>
          </cell>
        </row>
        <row r="34">
          <cell r="F34" t="str">
            <v>Mult. of</v>
          </cell>
          <cell r="H34" t="str">
            <v>%</v>
          </cell>
          <cell r="J34" t="str">
            <v>%</v>
          </cell>
          <cell r="L34" t="str">
            <v>Fully Diluted</v>
          </cell>
        </row>
        <row r="35">
          <cell r="B35" t="str">
            <v>Sources</v>
          </cell>
          <cell r="D35" t="str">
            <v>$</v>
          </cell>
          <cell r="F35" t="str">
            <v>Adj. EBITDA (1)</v>
          </cell>
          <cell r="H35" t="str">
            <v>of Total</v>
          </cell>
          <cell r="J35" t="str">
            <v>Ownership</v>
          </cell>
          <cell r="L35" t="str">
            <v>Ownership</v>
          </cell>
        </row>
        <row r="36">
          <cell r="B36" t="str">
            <v>Senior Debt</v>
          </cell>
          <cell r="D36">
            <v>15</v>
          </cell>
          <cell r="F36">
            <v>2.0186868495875081</v>
          </cell>
          <cell r="H36">
            <v>0.32467532467532473</v>
          </cell>
        </row>
        <row r="37">
          <cell r="B37" t="str">
            <v>Sub. Debt</v>
          </cell>
          <cell r="D37">
            <v>0</v>
          </cell>
          <cell r="F37">
            <v>0</v>
          </cell>
          <cell r="H37">
            <v>0</v>
          </cell>
        </row>
        <row r="38">
          <cell r="B38" t="str">
            <v>Total Leverage</v>
          </cell>
          <cell r="D38">
            <v>15</v>
          </cell>
          <cell r="F38">
            <v>2.0186868495875081</v>
          </cell>
          <cell r="H38">
            <v>0.32467532467532473</v>
          </cell>
          <cell r="J38">
            <v>0</v>
          </cell>
          <cell r="L38">
            <v>0</v>
          </cell>
        </row>
        <row r="40">
          <cell r="B40" t="str">
            <v>Prime Management Rollover</v>
          </cell>
          <cell r="D40">
            <v>9.9554121999999996</v>
          </cell>
          <cell r="F40">
            <v>1.3397906460242028</v>
          </cell>
          <cell r="H40">
            <v>0.21548511255411257</v>
          </cell>
          <cell r="J40">
            <v>0.31908372435897436</v>
          </cell>
          <cell r="L40">
            <v>0.28717535192307692</v>
          </cell>
        </row>
        <row r="41">
          <cell r="B41" t="str">
            <v>Affiliated Prime Companies Rollover</v>
          </cell>
          <cell r="D41">
            <v>0</v>
          </cell>
          <cell r="F41">
            <v>0</v>
          </cell>
          <cell r="H41">
            <v>0</v>
          </cell>
          <cell r="J41">
            <v>0</v>
          </cell>
          <cell r="L41">
            <v>0</v>
          </cell>
        </row>
        <row r="42">
          <cell r="B42" t="str">
            <v>AMCP Equity</v>
          </cell>
          <cell r="D42">
            <v>21.244587799999998</v>
          </cell>
          <cell r="F42">
            <v>2.8590780011178136</v>
          </cell>
          <cell r="H42">
            <v>0.45983956277056276</v>
          </cell>
          <cell r="J42">
            <v>0.68091627564102564</v>
          </cell>
          <cell r="L42">
            <v>0.61282464807692305</v>
          </cell>
        </row>
        <row r="43">
          <cell r="B43" t="str">
            <v>Management Option Pool</v>
          </cell>
          <cell r="D43">
            <v>0</v>
          </cell>
          <cell r="F43">
            <v>0</v>
          </cell>
          <cell r="H43">
            <v>0</v>
          </cell>
          <cell r="J43">
            <v>0</v>
          </cell>
          <cell r="L43">
            <v>0.1</v>
          </cell>
        </row>
        <row r="44">
          <cell r="B44" t="str">
            <v>Total Capitalization</v>
          </cell>
          <cell r="D44">
            <v>46.199999999999996</v>
          </cell>
          <cell r="F44">
            <v>6.2175554967295241</v>
          </cell>
          <cell r="H44">
            <v>1</v>
          </cell>
          <cell r="J44">
            <v>1</v>
          </cell>
          <cell r="L44">
            <v>0.99999999999999989</v>
          </cell>
        </row>
        <row r="46">
          <cell r="B46" t="str">
            <v>Note: Based on CY 2017E projected results.</v>
          </cell>
        </row>
        <row r="47">
          <cell r="B47" t="str">
            <v>1) Adjusted EBITDA</v>
          </cell>
          <cell r="D47">
            <v>7.4305730000000008</v>
          </cell>
        </row>
      </sheetData>
      <sheetData sheetId="30">
        <row r="5">
          <cell r="A5" t="str">
            <v>($ in millions)</v>
          </cell>
          <cell r="C5" t="str">
            <v>AMCP</v>
          </cell>
          <cell r="D5" t="str">
            <v>AMCP</v>
          </cell>
          <cell r="H5" t="str">
            <v>AMCP</v>
          </cell>
          <cell r="J5" t="str">
            <v>AMCP</v>
          </cell>
          <cell r="N5" t="str">
            <v>AMCP</v>
          </cell>
          <cell r="P5" t="str">
            <v>LTM June 2018</v>
          </cell>
        </row>
        <row r="6">
          <cell r="C6" t="str">
            <v>% Adj.</v>
          </cell>
          <cell r="D6" t="str">
            <v>Unadj.</v>
          </cell>
          <cell r="F6" t="str">
            <v xml:space="preserve">AMCP </v>
          </cell>
          <cell r="H6" t="str">
            <v>Adj.</v>
          </cell>
          <cell r="J6" t="str">
            <v>Unadj.</v>
          </cell>
          <cell r="L6" t="str">
            <v xml:space="preserve">AMCP </v>
          </cell>
          <cell r="N6" t="str">
            <v>Adj.</v>
          </cell>
          <cell r="P6" t="str">
            <v>Mgmt.</v>
          </cell>
          <cell r="R6" t="str">
            <v>AMCP Adj.</v>
          </cell>
        </row>
        <row r="8">
          <cell r="A8" t="str">
            <v>PWC Unadjusted EBITDA</v>
          </cell>
          <cell r="P8">
            <v>3.9405600000000001</v>
          </cell>
          <cell r="R8">
            <v>3.9405600000000001</v>
          </cell>
        </row>
        <row r="9">
          <cell r="A9" t="str">
            <v>% Margin</v>
          </cell>
          <cell r="P9">
            <v>6.1188819875776394E-2</v>
          </cell>
          <cell r="R9">
            <v>6.1188819875776394E-2</v>
          </cell>
        </row>
        <row r="11">
          <cell r="A11" t="str">
            <v>Adjustments:</v>
          </cell>
        </row>
        <row r="12">
          <cell r="A12" t="str">
            <v>Estimated LTM Roll-forward Through December '17</v>
          </cell>
          <cell r="P12">
            <v>0</v>
          </cell>
          <cell r="R12">
            <v>0</v>
          </cell>
        </row>
        <row r="13">
          <cell r="A13" t="str">
            <v>Travel Expenses</v>
          </cell>
          <cell r="P13">
            <v>0.23368900000000001</v>
          </cell>
          <cell r="R13">
            <v>0.23368900000000001</v>
          </cell>
        </row>
        <row r="14">
          <cell r="A14" t="str">
            <v>Marketing</v>
          </cell>
          <cell r="P14">
            <v>0.14865999999999999</v>
          </cell>
          <cell r="R14">
            <v>0.14865999999999999</v>
          </cell>
        </row>
        <row r="15">
          <cell r="A15" t="str">
            <v>Rent</v>
          </cell>
          <cell r="P15">
            <v>0.14050000000000001</v>
          </cell>
          <cell r="R15">
            <v>0.14050000000000001</v>
          </cell>
        </row>
        <row r="16">
          <cell r="A16" t="str">
            <v>Trailer Leases</v>
          </cell>
          <cell r="P16">
            <v>5.9580000000000001E-2</v>
          </cell>
          <cell r="R16">
            <v>5.9580000000000001E-2</v>
          </cell>
        </row>
        <row r="17">
          <cell r="A17" t="str">
            <v xml:space="preserve">Other </v>
          </cell>
          <cell r="P17">
            <v>0.107584</v>
          </cell>
          <cell r="R17">
            <v>0.107584</v>
          </cell>
        </row>
        <row r="19">
          <cell r="A19" t="str">
            <v xml:space="preserve">PWC Adjusted EBITDA: </v>
          </cell>
          <cell r="P19">
            <v>4.6305730000000001</v>
          </cell>
          <cell r="R19">
            <v>4.6305730000000001</v>
          </cell>
        </row>
        <row r="20">
          <cell r="A20" t="str">
            <v>% Margin</v>
          </cell>
          <cell r="P20">
            <v>7.1903307453416138E-2</v>
          </cell>
          <cell r="R20">
            <v>7.1903307453416138E-2</v>
          </cell>
        </row>
        <row r="22">
          <cell r="A22" t="str">
            <v>River City Wood (Broker)</v>
          </cell>
          <cell r="P22">
            <v>1.5</v>
          </cell>
          <cell r="R22">
            <v>1.5</v>
          </cell>
        </row>
        <row r="24">
          <cell r="A24" t="str">
            <v>Supplyside USA</v>
          </cell>
          <cell r="P24">
            <v>1.1000000000000001</v>
          </cell>
          <cell r="R24">
            <v>1.1000000000000001</v>
          </cell>
        </row>
        <row r="26">
          <cell r="A26" t="str">
            <v>Packaging Supplies</v>
          </cell>
          <cell r="P26">
            <v>0.2</v>
          </cell>
          <cell r="R26">
            <v>0.2</v>
          </cell>
        </row>
        <row r="28">
          <cell r="A28" t="str">
            <v>Total PWC &amp; Affiliated Companies</v>
          </cell>
          <cell r="P28">
            <v>7.4305729999999999</v>
          </cell>
          <cell r="R28">
            <v>7.4305729999999999</v>
          </cell>
        </row>
        <row r="30">
          <cell r="A30" t="str">
            <v>Recent Contract Wins</v>
          </cell>
          <cell r="C30">
            <v>0.66</v>
          </cell>
          <cell r="P30">
            <v>3.1</v>
          </cell>
          <cell r="R30">
            <v>2.0460000000000003</v>
          </cell>
        </row>
        <row r="32">
          <cell r="A32" t="str">
            <v>Total PWC &amp; Affiliated Companies - Run Rate</v>
          </cell>
          <cell r="P32">
            <v>10.530573</v>
          </cell>
          <cell r="R32">
            <v>9.4765730000000001</v>
          </cell>
        </row>
        <row r="35">
          <cell r="A35" t="str">
            <v xml:space="preserve">PWC Revenue </v>
          </cell>
          <cell r="P35">
            <v>64.400000000000006</v>
          </cell>
          <cell r="R35">
            <v>64.400000000000006</v>
          </cell>
        </row>
      </sheetData>
      <sheetData sheetId="31"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EBITDA Waterfall"/>
      <sheetName val="Returns Sensitivities"/>
      <sheetName val="Synergies"/>
      <sheetName val="Acquisitions P&amp;L"/>
      <sheetName val="S&amp;U and Cap Table"/>
      <sheetName val="CHEP EBITDA Waterfall"/>
      <sheetName val="Ouput P&amp;L"/>
      <sheetName val="PRIME EBITDA Waterfall "/>
      <sheetName val="Transaction 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Lender Summary"/>
      <sheetName val="Lender Model"/>
      <sheetName val="Pro Forma Cash Model"/>
      <sheetName val="Empress"/>
      <sheetName val="Txn. Assump.–Platform &amp; Add-Ons"/>
      <sheetName val="PLS – Base Contract Analysis"/>
      <sheetName val="Case Manager &amp; Control Panel"/>
      <sheetName val="PCLS Standalone"/>
      <sheetName val="Add-Ons, RFPs &amp; SoEMS"/>
      <sheetName val="NWC Drivers By Contract"/>
      <sheetName val="Model Summary"/>
      <sheetName val="Empress Lender Deck Outputs"/>
      <sheetName val="PF Cash P&amp;L (Stub Period Calc)&gt;"/>
      <sheetName val="Empress CapEx"/>
      <sheetName val="Pro Forma Contract Waterfall"/>
      <sheetName val="Model Outputs&gt;&gt;"/>
      <sheetName val="Vesting Capitalization Tab"/>
      <sheetName val="Standalone PCLS Contract P&amp;Ls&gt;"/>
      <sheetName val="Empress LOI Appendix Outputs"/>
      <sheetName val="PCLS – Pinellas"/>
      <sheetName val="PCLS – Fort Wayne"/>
      <sheetName val="PCLS – LifeCare"/>
      <sheetName val="PCLS – Sioux Falls"/>
      <sheetName val="PCLS – Wylie"/>
      <sheetName val="PCLS – ETX MGMT"/>
      <sheetName val="PCLS – Corporate"/>
      <sheetName val="PCLS – PF Incremental Corp Cost"/>
      <sheetName val="2018&amp;2019 PCLS PF Corp. Roster"/>
      <sheetName val="PCLS – School of EMS"/>
      <sheetName val="PCLS – Fleet Plus"/>
      <sheetName val="PCLS – Alameda"/>
      <sheetName val="PCLS – Waco"/>
      <sheetName val="CapEx Projections&gt;&gt;&gt;"/>
      <sheetName val="CapEx Summary From Company"/>
      <sheetName val="Historical CapEx (2018.07.31)"/>
      <sheetName val="Sum"/>
      <sheetName val="Sum (2)"/>
      <sheetName val="CA"/>
      <sheetName val="IN"/>
      <sheetName val="Wylie"/>
      <sheetName val="FL"/>
      <sheetName val="SD"/>
      <sheetName val="Corp."/>
      <sheetName val="One Time Costs"/>
      <sheetName val="Fleet Value By Contract"/>
      <sheetName val="ACQs, RFPs &amp; SoEMS Financials&gt;"/>
      <sheetName val="Illustrative Acq. &amp; RFPs &gt;&gt;"/>
      <sheetName val="Acquisitions"/>
      <sheetName val="RFPs"/>
      <sheetName val="School of EMS Drivers&gt;&gt;&gt;"/>
      <sheetName val="School of EMS From Company"/>
      <sheetName val="Summary"/>
      <sheetName val="Medic"/>
      <sheetName val="EMT"/>
      <sheetName val="Other Empress Outputs&gt;&gt;"/>
      <sheetName val="Empress Contract Waterfall"/>
      <sheetName val="EMStar Contract Waterfall"/>
      <sheetName val="Empress Fees and Expenses"/>
      <sheetName val="Empress Run-Rate Adj. Analysis"/>
      <sheetName val="Empress Valuation Range&amp;PF S&amp;U"/>
      <sheetName val="Empress LTM Comp JUL v OCT"/>
      <sheetName val="Valuation Outputs&gt;&gt;"/>
      <sheetName val="Summary Financials"/>
      <sheetName val="Valuation Output"/>
      <sheetName val="Valuation PF Adj. EBITDA"/>
      <sheetName val="Fund Investment Table"/>
      <sheetName val="Transaction Comps"/>
      <sheetName val="NWC Drivers &gt;&gt;"/>
      <sheetName val="Corp. Exp. and Capitalization&gt;&gt;"/>
      <sheetName val="Exec. Comp. &amp; B Unit Allocation"/>
      <sheetName val="Corp fcst 1-29 reduction"/>
      <sheetName val="LifeCare Outputs&gt;&gt;"/>
      <sheetName val="AMCP Outputs"/>
      <sheetName val="LifeCare EBITDA Mult Analysis"/>
      <sheetName val="LifeCare Contract Waterfall"/>
      <sheetName val="LifeCare Fees and Expenses"/>
      <sheetName val="LifeCare Buyer Funds Flow"/>
      <sheetName val="LifeCare Seller Funds Flow"/>
      <sheetName val="EBITDA Delta to IC Memo"/>
      <sheetName val="PLS – Fort Wayne"/>
      <sheetName val="PLS – Sioux Falls"/>
      <sheetName val="PLS – Wylie"/>
      <sheetName val="PLS – Fleet Plus"/>
      <sheetName val="PLS – Alameda"/>
      <sheetName val="PLS – Waco"/>
      <sheetName val="ETX Mgmt &amp; PLS Standalone Corp."/>
      <sheetName val="ETMS TX Corp. Carveout"/>
      <sheetName val="LifeCare"/>
    </sheetNames>
    <sheetDataSet>
      <sheetData sheetId="0"/>
      <sheetData sheetId="1"/>
      <sheetData sheetId="2">
        <row r="5">
          <cell r="J5">
            <v>1</v>
          </cell>
        </row>
      </sheetData>
      <sheetData sheetId="3">
        <row r="1409">
          <cell r="I1409">
            <v>770</v>
          </cell>
        </row>
      </sheetData>
      <sheetData sheetId="4">
        <row r="7">
          <cell r="E7">
            <v>1000</v>
          </cell>
        </row>
      </sheetData>
      <sheetData sheetId="5">
        <row r="498">
          <cell r="C498" t="str">
            <v>Yonkers</v>
          </cell>
        </row>
      </sheetData>
      <sheetData sheetId="6">
        <row r="10">
          <cell r="D10" t="str">
            <v>Lender Case</v>
          </cell>
        </row>
      </sheetData>
      <sheetData sheetId="7">
        <row r="17">
          <cell r="C17" t="str">
            <v>Pinellas</v>
          </cell>
        </row>
      </sheetData>
      <sheetData sheetId="8">
        <row r="19">
          <cell r="K19">
            <v>0</v>
          </cell>
        </row>
      </sheetData>
      <sheetData sheetId="9" refreshError="1"/>
      <sheetData sheetId="10">
        <row r="20">
          <cell r="D20">
            <v>241690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2">
          <cell r="B2" t="str">
            <v>TBU - Update to reflect newest model and winston contract summary as shown on the pf contract waterfall slide</v>
          </cell>
        </row>
      </sheetData>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3">
          <cell r="C3" t="str">
            <v>PF Adj. Cash Balance (Net of Post-Closing Adj. &amp; Payment of AR Shortfall) - Cash Used In Valuations</v>
          </cell>
        </row>
        <row r="4">
          <cell r="D4">
            <v>43190</v>
          </cell>
          <cell r="E4">
            <v>43281</v>
          </cell>
          <cell r="F4">
            <v>43373</v>
          </cell>
        </row>
        <row r="5">
          <cell r="C5" t="str">
            <v>PF HoldCo Closing Cash (Net of Adj. AR Shortfall and $2M to SS at closing)</v>
          </cell>
          <cell r="D5">
            <v>9434.6590519674992</v>
          </cell>
          <cell r="E5">
            <v>9434.6590519674992</v>
          </cell>
          <cell r="F5">
            <v>9434.6590519675228</v>
          </cell>
        </row>
        <row r="6">
          <cell r="C6" t="str">
            <v>Subsequent P+ Operations (Per Tony)</v>
          </cell>
          <cell r="D6">
            <v>0</v>
          </cell>
          <cell r="E6">
            <v>7431</v>
          </cell>
          <cell r="F6">
            <v>5492</v>
          </cell>
        </row>
        <row r="7">
          <cell r="C7" t="str">
            <v>LifeCare Transaction</v>
          </cell>
          <cell r="D7">
            <v>0</v>
          </cell>
          <cell r="E7">
            <v>0</v>
          </cell>
          <cell r="F7">
            <v>-4513.2792300000001</v>
          </cell>
        </row>
        <row r="8">
          <cell r="C8" t="str">
            <v>Total</v>
          </cell>
          <cell r="D8">
            <v>9434.6590519674992</v>
          </cell>
          <cell r="E8">
            <v>16865.659051967501</v>
          </cell>
          <cell r="F8">
            <v>10413.379821967523</v>
          </cell>
        </row>
        <row r="10">
          <cell r="C10" t="str">
            <v>Accrued Vacation Accrual Estimate Calc.  - Debt-Like Used In Valuations</v>
          </cell>
        </row>
        <row r="11">
          <cell r="D11">
            <v>43190</v>
          </cell>
          <cell r="E11">
            <v>43281</v>
          </cell>
          <cell r="F11">
            <v>43373</v>
          </cell>
        </row>
        <row r="12">
          <cell r="C12" t="str">
            <v>Accrued Vacation (Per Tony)</v>
          </cell>
          <cell r="D12">
            <v>2632.96443</v>
          </cell>
          <cell r="E12">
            <v>2237.239</v>
          </cell>
          <cell r="F12">
            <v>2220.3229999999999</v>
          </cell>
        </row>
        <row r="13">
          <cell r="C13" t="str">
            <v>Payroll Taxes</v>
          </cell>
          <cell r="D13">
            <v>201.42177889499999</v>
          </cell>
          <cell r="E13">
            <v>171.14878350000001</v>
          </cell>
          <cell r="F13">
            <v>169.85470949999998</v>
          </cell>
        </row>
        <row r="14">
          <cell r="D14">
            <v>7.6499999999999999E-2</v>
          </cell>
          <cell r="E14">
            <v>7.6499999999999999E-2</v>
          </cell>
          <cell r="F14">
            <v>7.6499999999999999E-2</v>
          </cell>
        </row>
        <row r="15">
          <cell r="C15" t="str">
            <v>Total</v>
          </cell>
          <cell r="D15">
            <v>2834.386208895</v>
          </cell>
          <cell r="E15">
            <v>2408.3877834999998</v>
          </cell>
          <cell r="F15">
            <v>2390.1777094999998</v>
          </cell>
        </row>
        <row r="16">
          <cell r="K16" t="str">
            <v>Orignial Valuation Analysis done on Oct 26 workbook; subsuqently updated to Oct 31 workbook</v>
          </cell>
        </row>
        <row r="17">
          <cell r="H17" t="str">
            <v>PatientCare Quarterly Valuation EBITDA</v>
          </cell>
          <cell r="K17" t="str">
            <v>($ in thousands)</v>
          </cell>
        </row>
        <row r="18">
          <cell r="I18" t="str">
            <v>Q1 2018 Valuation</v>
          </cell>
          <cell r="J18" t="str">
            <v>Q2 2018 Valuation</v>
          </cell>
          <cell r="K18" t="str">
            <v>Q3 2018 Valuation</v>
          </cell>
        </row>
        <row r="19">
          <cell r="I19" t="str">
            <v>LTM Jan 2018A</v>
          </cell>
          <cell r="J19" t="str">
            <v>LTM Apr 2018A</v>
          </cell>
          <cell r="K19" t="str">
            <v>LTM Sep 2018A</v>
          </cell>
        </row>
        <row r="20">
          <cell r="M20" t="str">
            <v>Oct 26 workbook</v>
          </cell>
          <cell r="N20" t="str">
            <v>Oct 31 workbook</v>
          </cell>
        </row>
        <row r="21">
          <cell r="H21" t="str">
            <v>Consolidated HL QoE LTM Adj. EBITDA (Preliminary Q3 Pending Alameda HL Quality of Revenue Analysis)</v>
          </cell>
          <cell r="I21">
            <v>11497.843290500201</v>
          </cell>
          <cell r="J21">
            <v>11468.423110136036</v>
          </cell>
          <cell r="K21">
            <v>7495.4145729383836</v>
          </cell>
          <cell r="M21">
            <v>6899.8570329383674</v>
          </cell>
          <cell r="N21">
            <v>7495.4145729383836</v>
          </cell>
        </row>
        <row r="22">
          <cell r="H22" t="str">
            <v>(-) Alameda HL QoE LTM Adj. EBITDA(1)</v>
          </cell>
          <cell r="I22">
            <v>3395.8356321619622</v>
          </cell>
          <cell r="J22">
            <v>3011.0880134842091</v>
          </cell>
          <cell r="K22">
            <v>-1068.1003587818091</v>
          </cell>
          <cell r="M22">
            <v>-1604.9962287818194</v>
          </cell>
          <cell r="N22">
            <v>-1068.1003587818091</v>
          </cell>
        </row>
        <row r="23">
          <cell r="H23" t="str">
            <v>(-) Waco HL QoE LTM Adj. EBITDA</v>
          </cell>
          <cell r="I23">
            <v>1162.3242532080822</v>
          </cell>
          <cell r="J23">
            <v>841.04252244672216</v>
          </cell>
          <cell r="K23">
            <v>766.4748330095681</v>
          </cell>
          <cell r="M23">
            <v>765.99511300956578</v>
          </cell>
          <cell r="N23">
            <v>766.4748330095681</v>
          </cell>
        </row>
        <row r="25">
          <cell r="H25" t="str">
            <v>Run-Rate HL QoE LTM Adj. EBITDA</v>
          </cell>
          <cell r="I25">
            <v>6939.6834051301566</v>
          </cell>
          <cell r="J25">
            <v>7616.2925742051048</v>
          </cell>
          <cell r="K25">
            <v>7797.0400987106241</v>
          </cell>
          <cell r="M25">
            <v>7738.8581487106212</v>
          </cell>
          <cell r="N25">
            <v>7797.0400987106241</v>
          </cell>
        </row>
        <row r="27">
          <cell r="H27" t="str">
            <v>(+) LifeCare AMCP PF HL QoE LTM Adj. EBITDA (JUN-18A)</v>
          </cell>
          <cell r="I27">
            <v>0</v>
          </cell>
          <cell r="J27">
            <v>0</v>
          </cell>
          <cell r="K27">
            <v>929.93193294745561</v>
          </cell>
        </row>
        <row r="29">
          <cell r="H29" t="str">
            <v>Run-Rate HL QoE LTM Adj. EBITDA (Incl. LifeCare)</v>
          </cell>
          <cell r="I29">
            <v>6939.6834051301566</v>
          </cell>
          <cell r="J29">
            <v>7616.2925742051048</v>
          </cell>
          <cell r="K29">
            <v>8726.9720316580788</v>
          </cell>
        </row>
        <row r="31">
          <cell r="H31" t="str">
            <v>(+) PEPI – PF Incremental Standalone Costs Needed After TSA</v>
          </cell>
          <cell r="I31">
            <v>-477.54856201683498</v>
          </cell>
          <cell r="J31">
            <v>-477.54856201683498</v>
          </cell>
          <cell r="K31">
            <v>-477.54856201683498</v>
          </cell>
        </row>
        <row r="32">
          <cell r="H32" t="str">
            <v>(+) PEPI – PF Incremental Standalone Employee Medical Plan Coverage Increases</v>
          </cell>
          <cell r="I32">
            <v>-74</v>
          </cell>
          <cell r="J32">
            <v>-74</v>
          </cell>
          <cell r="K32">
            <v>-74</v>
          </cell>
        </row>
        <row r="34">
          <cell r="H34" t="str">
            <v>Pro Forma HL QoE LTM Adj. EBITDA</v>
          </cell>
          <cell r="I34">
            <v>6389.1103431133142</v>
          </cell>
          <cell r="J34">
            <v>7064.7440121882701</v>
          </cell>
          <cell r="K34">
            <v>8175.4234696412441</v>
          </cell>
        </row>
        <row r="36">
          <cell r="M36" t="str">
            <v>9/30 Shown at val. Meeting</v>
          </cell>
          <cell r="N36" t="str">
            <v>8/30 Shown ties to ebitda period</v>
          </cell>
        </row>
        <row r="37">
          <cell r="H37" t="str">
            <v>(+) PatientCare Mgmt. LTM CapEx (Excl. Alameda and Waco)</v>
          </cell>
          <cell r="I37">
            <v>-3328.6029199999998</v>
          </cell>
          <cell r="J37">
            <v>-2878.0994899999992</v>
          </cell>
          <cell r="K37">
            <v>-2607.8194600000002</v>
          </cell>
          <cell r="M37">
            <v>-2489.9459999999999</v>
          </cell>
          <cell r="N37">
            <v>-2607.8194600000002</v>
          </cell>
        </row>
        <row r="38">
          <cell r="H38" t="str">
            <v>(+) LifeCare PF HL QoE LTM Adj. CapEx (JUN-18A)</v>
          </cell>
          <cell r="I38">
            <v>0</v>
          </cell>
          <cell r="J38">
            <v>0</v>
          </cell>
          <cell r="K38">
            <v>-112.35658600000001</v>
          </cell>
        </row>
        <row r="40">
          <cell r="H40" t="str">
            <v>Pro Forma HL QoE LTM Adj. OCF</v>
          </cell>
          <cell r="I40">
            <v>3060.5074231133144</v>
          </cell>
          <cell r="J40">
            <v>4186.6445221882714</v>
          </cell>
          <cell r="K40">
            <v>5455.2474236412436</v>
          </cell>
        </row>
        <row r="43">
          <cell r="H43" t="str">
            <v>(1)  Subject to further HL quality of revenue analysis (likely beneficial).</v>
          </cell>
        </row>
        <row r="46">
          <cell r="H46" t="str">
            <v>Check</v>
          </cell>
          <cell r="I46">
            <v>0</v>
          </cell>
          <cell r="J46">
            <v>0</v>
          </cell>
          <cell r="K46">
            <v>0</v>
          </cell>
        </row>
        <row r="47">
          <cell r="H47" t="str">
            <v>Check</v>
          </cell>
          <cell r="I47">
            <v>0</v>
          </cell>
          <cell r="J47">
            <v>0</v>
          </cell>
          <cell r="K47">
            <v>0</v>
          </cell>
        </row>
        <row r="49">
          <cell r="P49" t="str">
            <v>Net Working Capital Adj.</v>
          </cell>
          <cell r="Y49" t="str">
            <v>($ in thousands)</v>
          </cell>
        </row>
        <row r="50">
          <cell r="R50">
            <v>43159</v>
          </cell>
          <cell r="S50">
            <v>43190</v>
          </cell>
          <cell r="T50">
            <v>43220</v>
          </cell>
          <cell r="U50">
            <v>43251</v>
          </cell>
          <cell r="V50">
            <v>43281</v>
          </cell>
          <cell r="W50">
            <v>43312</v>
          </cell>
          <cell r="X50">
            <v>43343</v>
          </cell>
          <cell r="Y50">
            <v>43373</v>
          </cell>
        </row>
        <row r="51">
          <cell r="P51" t="str">
            <v xml:space="preserve">NWC </v>
          </cell>
          <cell r="R51">
            <v>14253</v>
          </cell>
          <cell r="S51">
            <v>15431</v>
          </cell>
          <cell r="T51">
            <v>14660</v>
          </cell>
          <cell r="U51">
            <v>12327</v>
          </cell>
          <cell r="V51">
            <v>11713</v>
          </cell>
          <cell r="W51">
            <v>10211</v>
          </cell>
          <cell r="X51">
            <v>10811</v>
          </cell>
          <cell r="Y51">
            <v>14192</v>
          </cell>
        </row>
        <row r="52">
          <cell r="P52" t="str">
            <v>Rolling Average NWC - Post Closing (Begin in Mar. as transaction closed 3/29/18)</v>
          </cell>
          <cell r="Y52">
            <v>12763.571428571429</v>
          </cell>
        </row>
        <row r="53">
          <cell r="P53" t="str">
            <v>NWC Delta vs. Rolling Average</v>
          </cell>
          <cell r="S53">
            <v>2667.4285714285706</v>
          </cell>
          <cell r="T53">
            <v>1896.4285714285706</v>
          </cell>
          <cell r="U53">
            <v>-436.57142857142935</v>
          </cell>
          <cell r="V53">
            <v>-1050.5714285714294</v>
          </cell>
          <cell r="W53">
            <v>-2552.5714285714294</v>
          </cell>
          <cell r="X53">
            <v>-1952.5714285714294</v>
          </cell>
          <cell r="Y53">
            <v>1428.4285714285706</v>
          </cell>
        </row>
        <row r="60">
          <cell r="AD60" t="str">
            <v>Monthly Factor</v>
          </cell>
          <cell r="AE60">
            <v>8.3333333333333329E-2</v>
          </cell>
        </row>
        <row r="61">
          <cell r="AA61" t="str">
            <v>AMCP PF Adj. EBITDA</v>
          </cell>
          <cell r="AE61" t="str">
            <v>($ in thousands)</v>
          </cell>
          <cell r="AG61" t="str">
            <v>PatientCare Logististics Solutions</v>
          </cell>
        </row>
        <row r="62">
          <cell r="AB62">
            <v>43131</v>
          </cell>
          <cell r="AC62">
            <v>43220</v>
          </cell>
          <cell r="AD62">
            <v>43251</v>
          </cell>
          <cell r="AE62">
            <v>43281</v>
          </cell>
          <cell r="AG62" t="str">
            <v>SEP18 TTM Adj. EBITDA and Capex by Segment</v>
          </cell>
        </row>
        <row r="63">
          <cell r="AG63" t="str">
            <v>as of 10/26/2018</v>
          </cell>
        </row>
        <row r="64">
          <cell r="AA64" t="str">
            <v xml:space="preserve">Consolidated LTM QoE Adj. EBITDA </v>
          </cell>
          <cell r="AB64">
            <v>11497.843290500201</v>
          </cell>
          <cell r="AC64">
            <v>11468.423110136036</v>
          </cell>
          <cell r="AE64">
            <v>11870</v>
          </cell>
        </row>
        <row r="65">
          <cell r="AG65" t="str">
            <v>in $000</v>
          </cell>
        </row>
        <row r="66">
          <cell r="AA66" t="str">
            <v xml:space="preserve">Alameda LTM Adj. EBITDA </v>
          </cell>
          <cell r="AB66">
            <v>3395.8356321619622</v>
          </cell>
          <cell r="AC66">
            <v>3011.0880134842091</v>
          </cell>
          <cell r="AE66">
            <v>2119.1722073656479</v>
          </cell>
        </row>
        <row r="67">
          <cell r="AA67" t="str">
            <v xml:space="preserve">Alameda LTM Unadj. EBITDA </v>
          </cell>
          <cell r="AC67">
            <v>4436.7202099999686</v>
          </cell>
          <cell r="AE67">
            <v>2375.6719999999996</v>
          </cell>
          <cell r="AG67" t="str">
            <v>Segment</v>
          </cell>
          <cell r="AH67" t="str">
            <v>SEP18 TTM Adj. EBITDA</v>
          </cell>
          <cell r="AI67" t="str">
            <v>TTM Capex</v>
          </cell>
        </row>
        <row r="68">
          <cell r="AA68" t="str">
            <v>Alameda LTM EBITDA Adjustments</v>
          </cell>
          <cell r="AC68">
            <v>-1425.6321965157595</v>
          </cell>
          <cell r="AE68">
            <v>-256.49979263435171</v>
          </cell>
          <cell r="AG68" t="str">
            <v>FL</v>
          </cell>
          <cell r="AH68">
            <v>9324</v>
          </cell>
          <cell r="AI68">
            <v>1304.9559999999999</v>
          </cell>
        </row>
        <row r="69">
          <cell r="AG69" t="str">
            <v>CA</v>
          </cell>
          <cell r="AH69">
            <v>139</v>
          </cell>
          <cell r="AI69">
            <v>368.245</v>
          </cell>
        </row>
        <row r="70">
          <cell r="AA70" t="str">
            <v>Memo: Estimated Monthly Alameda EBITDA Adjustments</v>
          </cell>
          <cell r="AG70" t="str">
            <v>IN</v>
          </cell>
          <cell r="AH70">
            <v>1333</v>
          </cell>
          <cell r="AI70">
            <v>541.93600000000004</v>
          </cell>
        </row>
        <row r="71">
          <cell r="AA71" t="str">
            <v>Estimted May and June 2018 Adjustments Now Included in LTM Calc.</v>
          </cell>
          <cell r="AD71">
            <v>-118.80268304297995</v>
          </cell>
          <cell r="AE71">
            <v>-118.80268304297995</v>
          </cell>
          <cell r="AG71" t="str">
            <v>SD</v>
          </cell>
          <cell r="AH71">
            <v>1142</v>
          </cell>
          <cell r="AI71">
            <v>8.0850000000000009</v>
          </cell>
        </row>
        <row r="72">
          <cell r="AA72" t="str">
            <v>May and June 2017 Adjustments Now Excluded in LTM Calc.</v>
          </cell>
          <cell r="AD72">
            <v>-1533.0543710766765</v>
          </cell>
          <cell r="AE72">
            <v>126.31660110930898</v>
          </cell>
          <cell r="AG72" t="str">
            <v>Waco</v>
          </cell>
          <cell r="AH72">
            <v>757</v>
          </cell>
          <cell r="AI72">
            <v>658.77700000000004</v>
          </cell>
        </row>
        <row r="73">
          <cell r="AG73" t="str">
            <v>Wylie</v>
          </cell>
          <cell r="AH73">
            <v>328</v>
          </cell>
          <cell r="AI73">
            <v>0</v>
          </cell>
        </row>
        <row r="74">
          <cell r="AA74" t="str">
            <v xml:space="preserve">Waco LTM Adj. EBITDA </v>
          </cell>
          <cell r="AB74">
            <v>1162.3242532080822</v>
          </cell>
          <cell r="AC74">
            <v>841.04252244672216</v>
          </cell>
          <cell r="AE74">
            <v>1081.0154329606428</v>
          </cell>
          <cell r="AG74" t="str">
            <v>MS</v>
          </cell>
          <cell r="AH74">
            <v>75</v>
          </cell>
          <cell r="AI74">
            <v>0</v>
          </cell>
        </row>
        <row r="75">
          <cell r="AA75" t="str">
            <v xml:space="preserve">Waco LTM Unadj. EBITDA </v>
          </cell>
          <cell r="AC75">
            <v>359.37899602677169</v>
          </cell>
          <cell r="AE75">
            <v>638.69800000000032</v>
          </cell>
          <cell r="AG75" t="str">
            <v>Fleet Plus</v>
          </cell>
          <cell r="AH75">
            <v>-85</v>
          </cell>
          <cell r="AI75">
            <v>375.52300000000002</v>
          </cell>
        </row>
        <row r="76">
          <cell r="AG76" t="str">
            <v>SoEMS</v>
          </cell>
          <cell r="AH76">
            <v>-102</v>
          </cell>
          <cell r="AI76">
            <v>24.413</v>
          </cell>
        </row>
        <row r="77">
          <cell r="AA77" t="str">
            <v>Waco LTM EBITDA Adjustments</v>
          </cell>
          <cell r="AC77">
            <v>481.66352641995047</v>
          </cell>
          <cell r="AE77">
            <v>442.31743296064246</v>
          </cell>
          <cell r="AG77" t="str">
            <v>Corp</v>
          </cell>
          <cell r="AH77">
            <v>-1908</v>
          </cell>
          <cell r="AI77">
            <v>235.03299999999999</v>
          </cell>
        </row>
        <row r="78">
          <cell r="AG78" t="str">
            <v>Total</v>
          </cell>
          <cell r="AH78">
            <v>11003</v>
          </cell>
          <cell r="AI78">
            <v>3516.9680000000003</v>
          </cell>
        </row>
        <row r="79">
          <cell r="AA79" t="str">
            <v>Memo: Estimated Monthly Waco EBITDA Adjustments</v>
          </cell>
        </row>
        <row r="80">
          <cell r="AA80" t="str">
            <v>Estimted May and June 2018 Adjustments Now Included in LTM Calc.</v>
          </cell>
          <cell r="AD80">
            <v>40.138627201662537</v>
          </cell>
          <cell r="AE80">
            <v>40.138627201662537</v>
          </cell>
        </row>
        <row r="81">
          <cell r="AA81" t="str">
            <v>May and June 2017 Adjustments Now Excluded in LTM Calc.</v>
          </cell>
          <cell r="AD81">
            <v>37.678527607694264</v>
          </cell>
          <cell r="AE81">
            <v>81.944820254938804</v>
          </cell>
        </row>
        <row r="82">
          <cell r="AA82" t="str">
            <v>QoE LTM Adj. EBITDA (Excl. Alameda and Waco)</v>
          </cell>
          <cell r="AB82">
            <v>6939.6834051301566</v>
          </cell>
          <cell r="AC82">
            <v>7616.2925742051048</v>
          </cell>
          <cell r="AE82">
            <v>8669.8123596737096</v>
          </cell>
        </row>
        <row r="83">
          <cell r="AA83" t="str">
            <v>(-) Incremental Standalone Costs Needed After TSA</v>
          </cell>
          <cell r="AB83">
            <v>-477.54856201683498</v>
          </cell>
          <cell r="AC83">
            <v>-477.54856201683498</v>
          </cell>
          <cell r="AE83">
            <v>-477.54856201683498</v>
          </cell>
        </row>
        <row r="84">
          <cell r="AA84" t="str">
            <v>(-) HR Adjustment</v>
          </cell>
          <cell r="AB84">
            <v>-74</v>
          </cell>
          <cell r="AC84">
            <v>-74</v>
          </cell>
          <cell r="AE84">
            <v>-74</v>
          </cell>
        </row>
        <row r="85">
          <cell r="AA85" t="str">
            <v>Pro Forma LTM Adj. EBITDA (Excl. Alameda and Waco)</v>
          </cell>
          <cell r="AB85">
            <v>6388.1348431133219</v>
          </cell>
          <cell r="AC85">
            <v>7064.7440121882701</v>
          </cell>
          <cell r="AE85">
            <v>8118.2637976568749</v>
          </cell>
        </row>
      </sheetData>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MAI Cover"/>
      <sheetName val="Plan Sum"/>
      <sheetName val="2005 Sum"/>
      <sheetName val="MAI Plan Sum "/>
      <sheetName val="Sum by Co"/>
      <sheetName val="LY By Co"/>
      <sheetName val="MAI Plan P&amp;L"/>
      <sheetName val="MAIsg&amp;a"/>
      <sheetName val="MAI OH"/>
      <sheetName val="Regional Sales"/>
      <sheetName val="Chart"/>
      <sheetName val="NPD"/>
      <sheetName val="GM Sum"/>
      <sheetName val="MAI Bookings"/>
      <sheetName val="MAI Sales"/>
      <sheetName val="MAI Plan other"/>
      <sheetName val="Asset Mgmnt"/>
      <sheetName val="ROS"/>
      <sheetName val="2004 vs 2003"/>
      <sheetName val="Plan vs 2004E"/>
      <sheetName val="2005 P Sum"/>
      <sheetName val="2004 Sum"/>
      <sheetName val="2005 by Co"/>
      <sheetName val="2004 By Co"/>
      <sheetName val="Working Capital"/>
      <sheetName val="Cost Structur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MSIGet_Flags"/>
    </sheetNames>
    <sheetDataSet>
      <sheetData sheetId="0"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Movement PBC CY"/>
      <sheetName val="Movement PBC PY"/>
      <sheetName val="STATISTICS"/>
      <sheetName val="ANALYSIS"/>
      <sheetName val="WRITEOFF'S TEST"/>
      <sheetName val="Tickmarks"/>
      <sheetName val="modRollFWD"/>
      <sheetName val="Tables"/>
      <sheetName val="Model"/>
      <sheetName val="Date Input"/>
      <sheetName val="Worksheet in 5330 Allowance for"/>
      <sheetName val="Forecast Booking Units"/>
      <sheetName val="1098 loc"/>
      <sheetName val="Adjusting Journal Entries"/>
      <sheetName val="Amortization Schedules"/>
      <sheetName val="261"/>
      <sheetName val="Switch"/>
      <sheetName val="AE_Lookup"/>
      <sheetName val="OA_Lookup"/>
      <sheetName val="MM"/>
      <sheetName val="Current Cap Table"/>
      <sheetName val="Sheet2"/>
      <sheetName val="Week"/>
      <sheetName val="xref acct"/>
      <sheetName val="GRPWAS9"/>
      <sheetName val="25"/>
      <sheetName val="GL Data"/>
      <sheetName val="Budget"/>
      <sheetName val="Deferral Summary"/>
      <sheetName val="Forecast"/>
      <sheetName val="Catellus"/>
      <sheetName val="triggers"/>
      <sheetName val="General assumptions"/>
      <sheetName val="Acc Exp Timing"/>
      <sheetName val="Acquisition Hist"/>
      <sheetName val=" Acqn Benchmarking"/>
      <sheetName val="EBITDA Adjustments"/>
      <sheetName val="Budget Accuracy"/>
      <sheetName val="Capex Analytics"/>
      <sheetName val="Capex Major Projects"/>
      <sheetName val="Trapped Cash"/>
      <sheetName val="Non-Operating Cash Flows"/>
      <sheetName val="Derivatives"/>
      <sheetName val="EBITDA vs Operating CF"/>
      <sheetName val="Equity"/>
      <sheetName val="Quality of Assets"/>
      <sheetName val="Exposures"/>
      <sheetName val="Free CF"/>
      <sheetName val="Letters of Credit"/>
      <sheetName val="Net Debt"/>
      <sheetName val="OPEB - Funded Status"/>
      <sheetName val="IS Account Detail"/>
      <sheetName val="Normalized Monthly Working Cap"/>
      <sheetName val="Pension - Funded Status"/>
      <sheetName val="Post-Closing"/>
      <sheetName val="Potential Purchase Accounting"/>
      <sheetName val="Summary Work Cap"/>
      <sheetName val="Growth-Financials"/>
      <sheetName val="GT Custom"/>
      <sheetName val="INQ"/>
      <sheetName val="JLG Monthly"/>
      <sheetName val="List"/>
      <sheetName val="REPORT_DETAIL_AT_LIST"/>
      <sheetName val="graph"/>
      <sheetName val="Bilanz und GuV"/>
      <sheetName val="Monthly"/>
      <sheetName val="PWC"/>
      <sheetName val="Worksheet%20in%205330%20Allowan"/>
      <sheetName val="Maps"/>
      <sheetName val="allData"/>
      <sheetName val="Cube-Billings"/>
      <sheetName val="Cube-CV"/>
      <sheetName val="SegmentMaps"/>
      <sheetName val="Cube-NCV"/>
      <sheetName val="Cube-REV"/>
      <sheetName val="Data-IDC"/>
      <sheetName val="Forecast-IDC"/>
      <sheetName val="Share Buyback Calcs"/>
      <sheetName val="HC and Base Pay Trend"/>
      <sheetName val="Datenbank"/>
      <sheetName val="Hf"/>
      <sheetName val="IS01"/>
      <sheetName val="ic"/>
      <sheetName val="Schedule"/>
      <sheetName val="KION - RE Value Summary"/>
      <sheetName val="Sheet1"/>
      <sheetName val="Activity"/>
      <sheetName val="Variables"/>
      <sheetName val="CREDIT STATS"/>
      <sheetName val="Base_Dom"/>
      <sheetName val="Graph 1"/>
      <sheetName val="Categories"/>
      <sheetName val="Lookups"/>
      <sheetName val="Mult-3yr"/>
      <sheetName val="MORE"/>
      <sheetName val="qtrsumguts"/>
      <sheetName val="ES-13"/>
      <sheetName val="LBO"/>
      <sheetName val="ONYX"/>
      <sheetName val="hb_rapp"/>
      <sheetName val="Focus Group"/>
      <sheetName val="WACC Calculation"/>
      <sheetName val="14.1"/>
      <sheetName val="8"/>
      <sheetName val="6"/>
      <sheetName val="11"/>
      <sheetName val="12"/>
      <sheetName val="13.2"/>
      <sheetName val="14"/>
      <sheetName val="15"/>
      <sheetName val="16"/>
      <sheetName val="17"/>
      <sheetName val="18"/>
      <sheetName val="22"/>
      <sheetName val="22.1"/>
      <sheetName val="23"/>
      <sheetName val="24"/>
      <sheetName val="25.1"/>
      <sheetName val="25.2"/>
      <sheetName val="26"/>
      <sheetName val="26.1"/>
      <sheetName val="26.2"/>
      <sheetName val="27"/>
      <sheetName val="28"/>
      <sheetName val="29"/>
      <sheetName val="3"/>
      <sheetName val="30"/>
      <sheetName val="5"/>
      <sheetName val="7"/>
      <sheetName val="9"/>
      <sheetName val="9.1"/>
      <sheetName val="1"/>
      <sheetName val="FCF"/>
      <sheetName val="Order Codes-UnitsPerQty Query"/>
      <sheetName val="data"/>
      <sheetName val="Hoja1"/>
      <sheetName val="Consolidated"/>
      <sheetName val="Inputs"/>
      <sheetName val="Menu"/>
      <sheetName val="Crew Days"/>
      <sheetName val="2017 Detail Sku info"/>
      <sheetName val="Cash"/>
      <sheetName val="P&amp;L"/>
      <sheetName val="U1 P&amp;L"/>
      <sheetName val="DIL4"/>
      <sheetName val="VSS"/>
      <sheetName val="Data by SC"/>
      <sheetName val="Report 11"/>
      <sheetName val="Headcount and Oil Price"/>
      <sheetName val="BOE Stats"/>
      <sheetName val="Checks_BO"/>
      <sheetName val="Control_Princeton"/>
      <sheetName val="평가기준"/>
      <sheetName val="Prix marché, shipments"/>
      <sheetName val="TPE Raw Data"/>
      <sheetName val="ADJ"/>
      <sheetName val="FinSum"/>
      <sheetName val="Lists"/>
      <sheetName val="A1 - Income Statement"/>
      <sheetName val="CHG BS roll-forward"/>
      <sheetName val="ico0504-sum"/>
      <sheetName val="BIS LIST-NTH 18"/>
      <sheetName val="Reference"/>
      <sheetName val="In Euros"/>
      <sheetName val="Revenue Backlog"/>
      <sheetName val="Assump"/>
      <sheetName val="Drivers"/>
      <sheetName val="unit_type"/>
      <sheetName val="FY 17 Campus"/>
      <sheetName val="Sep13-Aug15"/>
      <sheetName val="FY16 Budget"/>
      <sheetName val="Actual-Smry"/>
      <sheetName val="Rent"/>
      <sheetName val="D&amp;A"/>
      <sheetName val="Outputs-&gt;"/>
      <sheetName val="Enrl Fcst"/>
      <sheetName val="FTE-Smry"/>
      <sheetName val="Inputs-&gt;"/>
      <sheetName val="Loan Schedule"/>
      <sheetName val="CH PreOpen"/>
      <sheetName val="HO and CL PR"/>
      <sheetName val="Corp FTE model"/>
      <sheetName val="Corp SGA"/>
      <sheetName val="LEI BS"/>
      <sheetName val="Asset Strategy"/>
      <sheetName val="ProdExpVari"/>
      <sheetName val="10"/>
      <sheetName val="SUMMARY"/>
      <sheetName val="Step1-update excut date &amp; cap %"/>
      <sheetName val="Contents"/>
      <sheetName val="Sponsor as Beneficiary (Burl)"/>
      <sheetName val="Team Codes"/>
      <sheetName val="Standalone Cost Assumptions"/>
      <sheetName val="Custom Index"/>
      <sheetName val="Customers Top Ten"/>
      <sheetName val="Summary 2"/>
      <sheetName val="PF Waterfall"/>
      <sheetName val="DJIA"/>
      <sheetName val="Data_Fxd"/>
      <sheetName val="PERIOD MIX"/>
      <sheetName val="Web"/>
      <sheetName val="Cover"/>
      <sheetName val="Credit Ratios"/>
      <sheetName val="calendar"/>
      <sheetName val="OR Zip data"/>
      <sheetName val="MAIN"/>
      <sheetName val="2011 Cap Projects"/>
      <sheetName val="VGM_Query Detail"/>
      <sheetName val="Cost Breakdown"/>
      <sheetName val="Labor"/>
      <sheetName val="Internal"/>
      <sheetName val="Cover Page"/>
      <sheetName val="Security Names - All"/>
      <sheetName val="Key Finance"/>
      <sheetName val="Settings"/>
      <sheetName val="RMS-USD$"/>
      <sheetName val="Fcst. Summary"/>
      <sheetName val="Joint Design"/>
      <sheetName val="Consolidated Forecast"/>
      <sheetName val="General Inputs"/>
      <sheetName val="Subs"/>
      <sheetName val="IS"/>
      <sheetName val="C90_NET"/>
      <sheetName val="Furniture Mfgs."/>
      <sheetName val="COMB3"/>
      <sheetName val="CONTROL$"/>
      <sheetName val="input"/>
      <sheetName val="Reference Tables"/>
      <sheetName val="Multi Plan Input"/>
      <sheetName val="dividends"/>
      <sheetName val="CENSUS FROM DISK"/>
      <sheetName val="JG Balance Sheet-New"/>
      <sheetName val="Assum"/>
      <sheetName val="OBSOLETE"/>
      <sheetName val="VSTS_ValidationWS_1"/>
      <sheetName val="#REF"/>
      <sheetName val="DEBT"/>
      <sheetName val="23-Lfam PY"/>
      <sheetName val="049 6-12.5oz Sch A"/>
      <sheetName val="Reg Guelph"/>
      <sheetName val="Reg Markham"/>
      <sheetName val="Reg Ottawa"/>
      <sheetName val="Scorecard Overview "/>
      <sheetName val="Bal Sheet Detail - Drivers"/>
      <sheetName val="Hist. Financial Spreads from PD"/>
      <sheetName val="Wage by CC"/>
      <sheetName val="Sheet0"/>
      <sheetName val="Inventory"/>
      <sheetName val="Trial Balance"/>
      <sheetName val="Towing Invoice"/>
      <sheetName val="Sources_Uses"/>
      <sheetName val="Transaction Assumptions"/>
      <sheetName val="Duration "/>
      <sheetName val="Funds Flow"/>
      <sheetName val="Sheet3"/>
      <sheetName val="PPD"/>
      <sheetName val="CONSOLF0208"/>
      <sheetName val="Projects"/>
      <sheetName val="GS Rev"/>
      <sheetName val="GS P&amp;L"/>
      <sheetName val="Parameters"/>
      <sheetName val="Net Income Graph"/>
      <sheetName val="Customer Data"/>
      <sheetName val="Financial Snapshot"/>
      <sheetName val="KPIs"/>
      <sheetName val="Clients"/>
      <sheetName val="Pipeline"/>
      <sheetName val="BS"/>
      <sheetName val="CF"/>
      <sheetName val="Client Vol"/>
      <sheetName val="Client Rev"/>
      <sheetName val="Client Profit"/>
      <sheetName val="Claim Sub"/>
      <sheetName val="Vol"/>
      <sheetName val="Rev"/>
      <sheetName val="Profit"/>
      <sheetName val="Old Plan Format"/>
      <sheetName val="Plan"/>
      <sheetName val="Map"/>
      <sheetName val="GL IS"/>
      <sheetName val="GL BS"/>
      <sheetName val="GL CF"/>
      <sheetName val="Rev vs Budget"/>
      <sheetName val="Rev vs Bud (Contract)"/>
      <sheetName val="2019 Budget"/>
      <sheetName val="Operational Budget"/>
      <sheetName val="Exchange Rate"/>
      <sheetName val="2010 BP (2)"/>
      <sheetName val="ActionsEN"/>
      <sheetName val="Sheet5"/>
      <sheetName val="MAT_N048"/>
      <sheetName val="A"/>
      <sheetName val="Project Worksheet Summary"/>
      <sheetName val="Drop Downs"/>
      <sheetName val="AR"/>
      <sheetName val="Options"/>
      <sheetName val="Q1 Summary"/>
      <sheetName val="Sheet44"/>
      <sheetName val="Sheet46"/>
      <sheetName val="AJEs"/>
      <sheetName val="Sheet18"/>
      <sheetName val="Sheet21"/>
      <sheetName val="Sheet23"/>
      <sheetName val="Sheet25"/>
      <sheetName val="Sheet26"/>
      <sheetName val="wk"/>
      <sheetName val="Fees"/>
      <sheetName val="structure"/>
      <sheetName val="XRef"/>
      <sheetName val="Employee Assumptions"/>
      <sheetName val="Gemstar"/>
      <sheetName val="Comprehensive MCO penetration"/>
      <sheetName val="IILFI39"/>
      <sheetName val="GIU 2006 IAS"/>
      <sheetName val="Expense Summary"/>
      <sheetName val="2nd Close"/>
      <sheetName val="Companies"/>
      <sheetName val="People"/>
      <sheetName val="Cube - Budget"/>
      <sheetName val="P &amp; L Groupings 2014"/>
      <sheetName val="Services"/>
      <sheetName val="FPP"/>
      <sheetName val="Insurance Collections"/>
      <sheetName val="Patient SF Collections"/>
      <sheetName val="Insurance SF Collections"/>
      <sheetName val="Cases"/>
      <sheetName val="Assumptions"/>
      <sheetName val="TopCust"/>
      <sheetName val="Keys_BO"/>
      <sheetName val="Variables Input"/>
      <sheetName val="TE Raw Data"/>
      <sheetName val="Monthly Data"/>
      <sheetName val="Noncurrent Assets"/>
      <sheetName val="Depr."/>
      <sheetName val="Additions"/>
      <sheetName val="QEAT"/>
      <sheetName val="GRAFICO EVOLUCIÓN"/>
      <sheetName val="AR - Top 10 Historical"/>
      <sheetName val="T&amp;D Spend"/>
      <sheetName val="Div. Cust. Base (2)"/>
      <sheetName val="CASH FLOW"/>
      <sheetName val="S4"/>
      <sheetName val="Loan Amortization Schedule"/>
      <sheetName val="WACC"/>
      <sheetName val="sal"/>
      <sheetName val="AddCost"/>
      <sheetName val="Tfer Out"/>
      <sheetName val="AccDil"/>
      <sheetName val="2.1.2 Insurance"/>
      <sheetName val="O productivity"/>
      <sheetName val="1964 - 1999 Canada Rig Count"/>
      <sheetName val="Current Weekly Summary"/>
      <sheetName val="Current Summary By State"/>
      <sheetName val="1991 - 1999 Drilling Type"/>
      <sheetName val="Assumptns - Rev (Existing Fac)"/>
      <sheetName val="GEN Inputs"/>
      <sheetName val="RAW DATA + FREQUENC"/>
      <sheetName val="Movement_PBC_CY"/>
      <sheetName val="Movement_PBC_PY"/>
      <sheetName val="WRITEOFF'S_TEST"/>
      <sheetName val="Date_Input"/>
      <sheetName val="Worksheet_in_5330_Allowance_for"/>
      <sheetName val="Forecast_Booking_Units"/>
      <sheetName val="1098_loc"/>
      <sheetName val="Adjusting_Journal_Entries"/>
      <sheetName val="Amortization_Schedules"/>
      <sheetName val="Current_Cap_Table"/>
      <sheetName val="xref_acct"/>
      <sheetName val="GL_Data"/>
      <sheetName val="Deferral_Summary"/>
      <sheetName val="General_assumptions"/>
      <sheetName val="Acc_Exp_Timing"/>
      <sheetName val="Acquisition_Hist"/>
      <sheetName val="_Acqn_Benchmarking"/>
      <sheetName val="EBITDA_Adjustments"/>
      <sheetName val="Budget_Accuracy"/>
      <sheetName val="Capex_Analytics"/>
      <sheetName val="Capex_Major_Projects"/>
      <sheetName val="Trapped_Cash"/>
      <sheetName val="Non-Operating_Cash_Flows"/>
      <sheetName val="EBITDA_vs_Operating_CF"/>
      <sheetName val="Quality_of_Assets"/>
      <sheetName val="Free_CF"/>
      <sheetName val="Letters_of_Credit"/>
      <sheetName val="Net_Debt"/>
      <sheetName val="OPEB_-_Funded_Status"/>
      <sheetName val="IS_Account_Detail"/>
      <sheetName val="Normalized_Monthly_Working_Cap"/>
      <sheetName val="Pension_-_Funded_Status"/>
      <sheetName val="Potential_Purchase_Accounting"/>
      <sheetName val="Summary_Work_Cap"/>
      <sheetName val="GT_Custom"/>
      <sheetName val="JLG_Monthly"/>
      <sheetName val="Share_Buyback_Calcs"/>
      <sheetName val="HC_and_Base_Pay_Trend"/>
      <sheetName val="Bilanz_und_GuV"/>
      <sheetName val="KION_-_RE_Value_Summary"/>
      <sheetName val="CREDIT_STATS"/>
      <sheetName val="Graph_1"/>
      <sheetName val="Focus_Group"/>
      <sheetName val="TPE_Raw_Data"/>
      <sheetName val="Prix_marché,_shipments"/>
      <sheetName val="Standalone_Cost_Assumptions"/>
      <sheetName val="Custom_Index"/>
      <sheetName val="WACC_Calculation"/>
      <sheetName val="14_1"/>
      <sheetName val="13_2"/>
      <sheetName val="22_1"/>
      <sheetName val="25_1"/>
      <sheetName val="25_2"/>
      <sheetName val="26_1"/>
      <sheetName val="26_2"/>
      <sheetName val="9_1"/>
      <sheetName val="Order_Codes-UnitsPerQty_Query"/>
      <sheetName val="CHG_BS_roll-forward"/>
      <sheetName val="Headcount_and_Oil_Price"/>
      <sheetName val="BOE_Stats"/>
      <sheetName val="23-Lfam_PY"/>
      <sheetName val="Crew_Days"/>
      <sheetName val="2017_Detail_Sku_info"/>
      <sheetName val="U1_P&amp;L"/>
      <sheetName val="049_6-12_5oz_Sch_A"/>
      <sheetName val="Reg_Guelph"/>
      <sheetName val="Reg_Markham"/>
      <sheetName val="Reg_Ottawa"/>
      <sheetName val="Scorecard_Overview_"/>
      <sheetName val="FY_17_Campus"/>
      <sheetName val="FY16_Budget"/>
      <sheetName val="Enrl_Fcst"/>
      <sheetName val="Loan_Schedule"/>
      <sheetName val="CH_PreOpen"/>
      <sheetName val="HO_and_CL_PR"/>
      <sheetName val="Corp_FTE_model"/>
      <sheetName val="Corp_SGA"/>
      <sheetName val="LEI_BS"/>
      <sheetName val="In_Euros"/>
      <sheetName val="Revenue_Backlog"/>
      <sheetName val="BIS_LIST-NTH_18"/>
      <sheetName val="Report_11"/>
      <sheetName val="Asset_Strategy"/>
      <sheetName val="PERIOD_MIX"/>
      <sheetName val="Bal_Sheet_Detail_-_Drivers"/>
      <sheetName val="Data_by_SC"/>
      <sheetName val="Reference_Tables"/>
      <sheetName val="Multi_Plan_Input"/>
      <sheetName val="Fcst__Summary"/>
      <sheetName val="Security_Names_-_All"/>
      <sheetName val="Joint_Design"/>
      <sheetName val="CENSUS_FROM_DISK"/>
      <sheetName val="JG_Balance_Sheet-New"/>
      <sheetName val="Trial_Balance"/>
      <sheetName val="Towing_Invoice"/>
      <sheetName val="2011_Cap_Projects"/>
      <sheetName val="VGM_Query_Detail"/>
      <sheetName val="Cost_Breakdown"/>
      <sheetName val="A1_-_Income_Statement"/>
      <sheetName val="Step1-update_excut_date_&amp;_cap_%"/>
      <sheetName val="Sponsor_as_Beneficiary_(Burl)"/>
      <sheetName val="Team_Codes"/>
      <sheetName val="PF_Waterfall"/>
      <sheetName val="Hist__Financial_Spreads_from_PD"/>
      <sheetName val="Wage_by_CC"/>
      <sheetName val="Furniture_Mfgs_"/>
      <sheetName val="Cover_Page"/>
      <sheetName val="Key_Finance"/>
      <sheetName val="Consolidated_Forecast"/>
      <sheetName val="General_Inputs"/>
      <sheetName val="Credit_Ratios"/>
      <sheetName val="OR_Zip_data"/>
      <sheetName val="Exchange_Rate"/>
      <sheetName val="Customers_Top_Ten"/>
      <sheetName val="Summary_2"/>
      <sheetName val="2010_BP_(2)"/>
      <sheetName val="Transaction_Assumptions"/>
      <sheetName val="Duration_"/>
      <sheetName val="Funds_Flow"/>
      <sheetName val="Project_Worksheet_Summary"/>
      <sheetName val="Drop_Downs"/>
      <sheetName val="Q1_Summary"/>
      <sheetName val="Employee_Assumptions"/>
      <sheetName val="Comprehensive_MCO_penetration"/>
      <sheetName val="GIU_2006_IAS"/>
      <sheetName val="Depr_"/>
      <sheetName val="Net_Income_Graph"/>
      <sheetName val="Noncurrent_Assets"/>
      <sheetName val="Customer_Data"/>
      <sheetName val="GRAFICO_EVOLUCIÓN"/>
      <sheetName val="Expense_Summary"/>
      <sheetName val="T&amp;D_Spend"/>
      <sheetName val="Div__Cust__Base_(2)"/>
      <sheetName val="AR_-_Top_10_Historical"/>
      <sheetName val="Cube_-_Budget"/>
      <sheetName val="P_&amp;_L_Groupings_2014"/>
      <sheetName val="SCTY Stock Price Graph"/>
      <sheetName val="Management Ownership"/>
      <sheetName val="TP"/>
      <sheetName val="WWCI Sale EPS Impact"/>
      <sheetName val="Margins&amp;Growth"/>
      <sheetName val="Annual"/>
      <sheetName val="Nextira LLC"/>
      <sheetName val="SG&amp;A"/>
      <sheetName val="Send -  Funds Flow"/>
      <sheetName val="Info Request"/>
      <sheetName val="Warrants"/>
      <sheetName val="TS Summary"/>
      <sheetName val="K Wood DE"/>
      <sheetName val="CONFIG"/>
      <sheetName val="MainMenu"/>
      <sheetName val="DIV INC"/>
      <sheetName val="DropZone"/>
      <sheetName val="INDEX"/>
      <sheetName val="Pro Forma"/>
      <sheetName val="Zip Lat Long"/>
      <sheetName val="OE Testing '00"/>
      <sheetName val="Supporting Settings"/>
      <sheetName val="Calculations"/>
      <sheetName val="WBY Pivot"/>
      <sheetName val="Cover Sheet"/>
      <sheetName val="Acquisition Opportunities"/>
      <sheetName val="Graphs"/>
      <sheetName val="BaseData"/>
      <sheetName val="Summary Sources &amp; Uses"/>
      <sheetName val="matrix_razorback"/>
      <sheetName val="Transaction Summary"/>
      <sheetName val="dropdown lists"/>
      <sheetName val="ETD"/>
      <sheetName val="Concent."/>
      <sheetName val="DCF"/>
      <sheetName val="Query"/>
      <sheetName val="Follow-on Offering Analysis"/>
      <sheetName val="YE-SW2"/>
      <sheetName val="Legend"/>
      <sheetName val="Growth Cases"/>
      <sheetName val="PEPSICO"/>
      <sheetName val="Vendor ID's"/>
      <sheetName val="GSChartLabels"/>
      <sheetName val="CA-BS0200"/>
      <sheetName val="SUN Data"/>
      <sheetName val="INFO INSIGHT"/>
      <sheetName val="Scott"/>
      <sheetName val="PL Rec to Mgmt pres"/>
      <sheetName val="Modesto"/>
      <sheetName val="Newark"/>
      <sheetName val="SanJose"/>
      <sheetName val="Financial Outputs"/>
      <sheetName val="MOTM39&amp;40"/>
      <sheetName val="Setup"/>
      <sheetName val="MEX95IB"/>
      <sheetName val="Acquisition Notes Payable"/>
      <sheetName val="Sum DCF Val"/>
      <sheetName val="Schedule_Worksheet"/>
      <sheetName val="GraphPage"/>
      <sheetName val="ABCO DSO"/>
      <sheetName val="CEB DSO"/>
      <sheetName val="CNQR DSO"/>
      <sheetName val="CRM DSO"/>
      <sheetName val="EBIX DSO"/>
      <sheetName val="FC DSO"/>
      <sheetName val="FCN DSO"/>
      <sheetName val="FORR DSO"/>
      <sheetName val="GPX DSO"/>
      <sheetName val="GUID DSO"/>
      <sheetName val="IT DSO"/>
      <sheetName val="LTRE DSO"/>
      <sheetName val="NCI DSO"/>
      <sheetName val="N DSO"/>
      <sheetName val="RP DSO"/>
      <sheetName val="SABA DSO"/>
      <sheetName val="ULTI DSO"/>
      <sheetName val="BRAD"/>
      <sheetName val="A1. Monthly Flash"/>
      <sheetName val="A2. Statements of Operations"/>
      <sheetName val="A3. Revenue"/>
      <sheetName val="A4. New Revenue"/>
      <sheetName val="A5. Dept Expense"/>
      <sheetName val="B1. Walk Month vs Prior Year"/>
      <sheetName val="B2. Walk YTD vs Budget"/>
      <sheetName val="B3. Walk YTD vs Prior Year"/>
      <sheetName val="B1. Walk Month vs Budget"/>
      <sheetName val="D1. NWC &amp; Liquidity"/>
      <sheetName val="D2. Balance Sheet"/>
      <sheetName val="D3. Cash Flow"/>
      <sheetName val="D4. Covenant Detail"/>
      <sheetName val="B1. Month vs Forecast"/>
      <sheetName val="B3. Month vs Prior Year"/>
      <sheetName val="B4. YTD vs Forecast"/>
      <sheetName val="C. Margins--&gt;"/>
      <sheetName val="I. Cash Flow"/>
      <sheetName val="J. Covenant Calc"/>
      <sheetName val="J1. Covenant Definitions"/>
      <sheetName val="K. P&amp;L Forecasts--&gt;"/>
      <sheetName val="K1. 3+9 Forecast"/>
      <sheetName val="K2. 6+6 Forecast"/>
      <sheetName val="N. 13 Week Cash Forecast"/>
      <sheetName val="O.Flash Reconciliation"/>
      <sheetName val="K3. 8+4 Forecast"/>
      <sheetName val="E1. KPIs"/>
      <sheetName val="E2. Headcount"/>
      <sheetName val="Input Schedules"/>
      <sheetName val="QB GL Input"/>
      <sheetName val="QB PL"/>
      <sheetName val="Empl Plan"/>
      <sheetName val="Empl 2018"/>
      <sheetName val="Bonus Plan"/>
      <sheetName val="ION Exp Build"/>
      <sheetName val="New Sales Build"/>
      <sheetName val="3rd Party Marketing"/>
      <sheetName val="ION Compare"/>
      <sheetName val="Empl 2017"/>
      <sheetName val="ION PL"/>
      <sheetName val="Expense Detail"/>
      <sheetName val="QoE 17"/>
      <sheetName val="BRAD Hist Info"/>
      <sheetName val="BRAD Budget"/>
      <sheetName val="Addback Detail"/>
      <sheetName val="CapEx"/>
      <sheetName val="Intangibles"/>
      <sheetName val="Bonus Exp"/>
      <sheetName val="Comm Exp"/>
    </sheetNames>
    <sheetDataSet>
      <sheetData sheetId="0">
        <row r="3">
          <cell r="B3" t="str">
            <v>Trend Data (ideally user would link this to TB)</v>
          </cell>
        </row>
      </sheetData>
      <sheetData sheetId="1">
        <row r="3">
          <cell r="B3" t="str">
            <v>Trend Data (ideally user would link this to TB)</v>
          </cell>
        </row>
      </sheetData>
      <sheetData sheetId="2" refreshError="1"/>
      <sheetData sheetId="3">
        <row r="3">
          <cell r="B3" t="str">
            <v>Trend Data (ideally user would link this to TB)</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B3" t="str">
            <v>Trend Data (ideally user would link this to TB)</v>
          </cell>
        </row>
      </sheetData>
      <sheetData sheetId="358">
        <row r="3">
          <cell r="B3" t="str">
            <v>Trend Data (ideally user would link this to TB)</v>
          </cell>
        </row>
      </sheetData>
      <sheetData sheetId="359">
        <row r="3">
          <cell r="B3" t="str">
            <v>Trend Data (ideally user would link this to TB)</v>
          </cell>
        </row>
      </sheetData>
      <sheetData sheetId="360">
        <row r="3">
          <cell r="B3" t="str">
            <v>Trend Data (ideally user would link this to TB)</v>
          </cell>
        </row>
      </sheetData>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3">
          <cell r="B3" t="str">
            <v>Trend Data (ideally user would link this to TB)</v>
          </cell>
        </row>
      </sheetData>
      <sheetData sheetId="396">
        <row r="3">
          <cell r="B3" t="str">
            <v>Trend Data (ideally user would link this to TB)</v>
          </cell>
        </row>
      </sheetData>
      <sheetData sheetId="397">
        <row r="3">
          <cell r="B3" t="str">
            <v>Trend Data (ideally user would link this to TB)</v>
          </cell>
        </row>
      </sheetData>
      <sheetData sheetId="398">
        <row r="3">
          <cell r="B3" t="str">
            <v>Trend Data (ideally user would link this to TB)</v>
          </cell>
        </row>
      </sheetData>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refreshError="1"/>
      <sheetData sheetId="530" refreshError="1"/>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G130"/>
  <sheetViews>
    <sheetView tabSelected="1" view="pageBreakPreview" topLeftCell="A7" zoomScale="85" zoomScaleNormal="85" zoomScaleSheetLayoutView="85" zoomScalePageLayoutView="85" workbookViewId="0">
      <selection activeCell="BG18" sqref="BG18"/>
    </sheetView>
  </sheetViews>
  <sheetFormatPr baseColWidth="8" defaultColWidth="7.83203125" defaultRowHeight="12.5" outlineLevelRow="1"/>
  <cols>
    <col width="17.33203125" customWidth="1" style="1" min="1" max="1"/>
    <col width="13.5" customWidth="1" style="2" min="2" max="2"/>
    <col width="13.6640625" customWidth="1" style="2" min="3" max="3"/>
    <col width="9.5" customWidth="1" style="2" min="4" max="4"/>
    <col width="13" customWidth="1" style="2" min="5" max="18"/>
    <col width="10.1640625" customWidth="1" style="2" min="19" max="19"/>
    <col width="13" customWidth="1" style="2" min="20" max="48"/>
    <col width="11.1640625" customWidth="1" style="1" min="49" max="56"/>
    <col width="14" customWidth="1" style="2" min="57" max="59"/>
    <col width="7.83203125" customWidth="1" style="1" min="60" max="16384"/>
  </cols>
  <sheetData>
    <row r="1" hidden="1" outlineLevel="1">
      <c r="H1" s="2" t="inlineStr">
        <is>
          <t>Union/CBA</t>
        </is>
      </c>
      <c r="N1" s="2" t="inlineStr">
        <is>
          <t>Employee Status Code</t>
        </is>
      </c>
      <c r="O1" s="2" t="inlineStr">
        <is>
          <t>Exempt/ Non-Exempt</t>
        </is>
      </c>
      <c r="P1" s="2" t="inlineStr">
        <is>
          <t>Employment Classification</t>
        </is>
      </c>
      <c r="Q1" s="2" t="inlineStr">
        <is>
          <t>Salaried/Hourly</t>
        </is>
      </c>
      <c r="AV1" s="2" t="inlineStr">
        <is>
          <t>Medical Plan Eligible?</t>
        </is>
      </c>
      <c r="AW1" s="1" t="inlineStr">
        <is>
          <t>Medical Dependent Status</t>
        </is>
      </c>
    </row>
    <row r="2" hidden="1" outlineLevel="1">
      <c r="H2" s="2" t="inlineStr">
        <is>
          <t>Yes</t>
        </is>
      </c>
      <c r="N2" s="2" t="inlineStr">
        <is>
          <t>Active</t>
        </is>
      </c>
      <c r="O2" s="2" t="inlineStr">
        <is>
          <t>Exempt</t>
        </is>
      </c>
      <c r="P2" s="2" t="inlineStr">
        <is>
          <t>Regular Full time (FT)</t>
        </is>
      </c>
      <c r="Q2" s="2" t="inlineStr">
        <is>
          <t>Salaried</t>
        </is>
      </c>
      <c r="AV2" s="2" t="inlineStr">
        <is>
          <t>Yes</t>
        </is>
      </c>
      <c r="AW2" s="1" t="inlineStr">
        <is>
          <t>EE / Employee Only</t>
        </is>
      </c>
    </row>
    <row r="3" hidden="1" outlineLevel="1">
      <c r="H3" s="2" t="inlineStr">
        <is>
          <t>No</t>
        </is>
      </c>
      <c r="N3" s="2" t="inlineStr">
        <is>
          <t>Retiree</t>
        </is>
      </c>
      <c r="O3" s="2" t="inlineStr">
        <is>
          <t>Non-Exempt</t>
        </is>
      </c>
      <c r="P3" s="2" t="inlineStr">
        <is>
          <t>Regular Part time (PT)</t>
        </is>
      </c>
      <c r="Q3" s="2" t="inlineStr">
        <is>
          <t>Hourly</t>
        </is>
      </c>
      <c r="AV3" s="2" t="inlineStr">
        <is>
          <t>No</t>
        </is>
      </c>
      <c r="AW3" s="1" t="inlineStr">
        <is>
          <t>ES / Employee + Spouse</t>
        </is>
      </c>
    </row>
    <row r="4" hidden="1" outlineLevel="1">
      <c r="N4" s="2" t="inlineStr">
        <is>
          <t>COBRA</t>
        </is>
      </c>
      <c r="P4" s="2" t="inlineStr">
        <is>
          <t>Temporary</t>
        </is>
      </c>
      <c r="AW4" s="1" t="inlineStr">
        <is>
          <t>EC / Employee + Children</t>
        </is>
      </c>
    </row>
    <row r="5" hidden="1" outlineLevel="1">
      <c r="N5" s="2" t="inlineStr">
        <is>
          <t>Inactive</t>
        </is>
      </c>
      <c r="AW5" s="1" t="inlineStr">
        <is>
          <t>EF / Family</t>
        </is>
      </c>
    </row>
    <row r="6" hidden="1" outlineLevel="1">
      <c r="AW6" s="1" t="inlineStr">
        <is>
          <t xml:space="preserve">W / Waived </t>
        </is>
      </c>
    </row>
    <row r="7" collapsed="1" ht="13" customHeight="1" thickBot="1"/>
    <row r="8" ht="19.5" customHeight="1">
      <c r="A8" s="46" t="inlineStr">
        <is>
          <t>Company Name:</t>
        </is>
      </c>
      <c r="B8" s="46" t="n"/>
      <c r="C8" s="46" t="n"/>
      <c r="D8" s="46" t="n"/>
      <c r="E8" s="45" t="n"/>
      <c r="F8" s="45" t="n"/>
      <c r="G8" s="45" t="n"/>
      <c r="H8" s="45" t="n"/>
      <c r="I8" s="45" t="n"/>
      <c r="J8" s="45" t="n"/>
      <c r="K8" s="45" t="n"/>
      <c r="L8" s="45" t="n"/>
      <c r="M8" s="45" t="n"/>
      <c r="N8" s="45" t="n"/>
      <c r="O8" s="45" t="n"/>
      <c r="P8" s="45" t="n"/>
      <c r="Q8" s="45" t="n"/>
      <c r="R8" s="45" t="n"/>
      <c r="S8" s="44" t="n"/>
      <c r="T8" s="45" t="n"/>
      <c r="U8" s="45" t="n"/>
      <c r="V8" s="45" t="n"/>
      <c r="W8" s="45" t="n"/>
      <c r="X8" s="45" t="n"/>
      <c r="Y8" s="45" t="n"/>
      <c r="Z8" s="45" t="n"/>
      <c r="AA8" s="45" t="n"/>
      <c r="AB8" s="45" t="n"/>
      <c r="AC8" s="45" t="n"/>
      <c r="AD8" s="45" t="n"/>
      <c r="AE8" s="45" t="n"/>
      <c r="AF8" s="45" t="n"/>
      <c r="AG8" s="45" t="n"/>
      <c r="AH8" s="45" t="n"/>
      <c r="AI8" s="45" t="n"/>
      <c r="AJ8" s="45" t="n"/>
      <c r="AK8" s="45" t="n"/>
      <c r="AL8" s="45" t="n"/>
      <c r="AM8" s="45" t="n"/>
      <c r="AN8" s="45" t="n"/>
      <c r="AO8" s="45" t="n"/>
      <c r="AP8" s="45" t="n"/>
      <c r="AQ8" s="45" t="n"/>
      <c r="AR8" s="45" t="n"/>
      <c r="AS8" s="45" t="n"/>
      <c r="AT8" s="45" t="n"/>
      <c r="AU8" s="45" t="n"/>
      <c r="AV8" s="45" t="n"/>
      <c r="AW8" s="45" t="n"/>
      <c r="AX8" s="45" t="n"/>
      <c r="AY8" s="45" t="n"/>
      <c r="AZ8" s="45" t="n"/>
      <c r="BA8" s="45" t="n"/>
      <c r="BB8" s="45" t="n"/>
      <c r="BC8" s="45" t="n"/>
      <c r="BD8" s="45" t="n"/>
      <c r="BE8" s="44" t="n"/>
      <c r="BF8" s="44" t="n"/>
      <c r="BG8" s="44" t="n"/>
    </row>
    <row r="9" ht="19.5" customHeight="1">
      <c r="A9" s="43" t="inlineStr">
        <is>
          <t>Date</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c r="AB9" s="43" t="n"/>
      <c r="AC9" s="43" t="n"/>
      <c r="AD9" s="43" t="n"/>
      <c r="AE9" s="43" t="n"/>
      <c r="AF9" s="43" t="n"/>
      <c r="AG9" s="43" t="n"/>
      <c r="AH9" s="43" t="n"/>
      <c r="AI9" s="43" t="n"/>
      <c r="AJ9" s="43" t="n"/>
      <c r="AK9" s="43" t="n"/>
      <c r="AL9" s="43" t="n"/>
      <c r="AM9" s="43" t="n"/>
      <c r="AN9" s="43" t="n"/>
      <c r="AO9" s="43" t="n"/>
      <c r="AP9" s="43" t="n"/>
      <c r="AQ9" s="43" t="n"/>
      <c r="AR9" s="43" t="n"/>
      <c r="AS9" s="43" t="n"/>
      <c r="AT9" s="43" t="n"/>
      <c r="AU9" s="43" t="n"/>
      <c r="AV9" s="43" t="n"/>
      <c r="AW9" s="43" t="n"/>
      <c r="AX9" s="43" t="n"/>
      <c r="AY9" s="43" t="n"/>
      <c r="AZ9" s="43" t="n"/>
      <c r="BA9" s="43" t="n"/>
      <c r="BB9" s="43" t="n"/>
      <c r="BC9" s="43" t="n"/>
      <c r="BD9" s="43" t="n"/>
      <c r="BE9" s="43" t="n"/>
      <c r="BF9" s="43" t="n"/>
      <c r="BG9" s="43" t="n"/>
    </row>
    <row r="10" ht="19.5" customHeight="1">
      <c r="A10" s="43" t="n"/>
      <c r="B10" s="43" t="n"/>
      <c r="C10" s="43" t="n"/>
      <c r="D10" s="43" t="n"/>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c r="AB10" s="43" t="n"/>
      <c r="AC10" s="43" t="n"/>
      <c r="AD10" s="43" t="n"/>
      <c r="AE10" s="43" t="n"/>
      <c r="AF10" s="43" t="n"/>
      <c r="AG10" s="43" t="n"/>
      <c r="AH10" s="43" t="n"/>
      <c r="AI10" s="43" t="n"/>
      <c r="AJ10" s="43" t="n"/>
      <c r="AK10" s="43" t="n"/>
      <c r="AL10" s="43" t="n"/>
      <c r="AM10" s="43" t="n"/>
      <c r="AN10" s="43" t="n"/>
      <c r="AO10" s="43" t="n"/>
      <c r="AP10" s="43" t="n"/>
      <c r="AQ10" s="43" t="n"/>
      <c r="AR10" s="43" t="n"/>
      <c r="AS10" s="43" t="n"/>
      <c r="AT10" s="43" t="n"/>
      <c r="AU10" s="43" t="n"/>
      <c r="AV10" s="43" t="n"/>
      <c r="AW10" s="43" t="n"/>
      <c r="AX10" s="43" t="n"/>
      <c r="AY10" s="43" t="n"/>
      <c r="AZ10" s="43" t="n"/>
      <c r="BA10" s="43" t="n"/>
      <c r="BB10" s="43" t="n"/>
      <c r="BC10" s="43" t="n"/>
      <c r="BD10" s="43" t="n"/>
      <c r="BE10" s="43" t="n"/>
      <c r="BF10" s="43" t="n"/>
      <c r="BG10" s="43" t="n"/>
    </row>
    <row r="11" ht="19.5" customHeight="1">
      <c r="A11" s="43" t="n"/>
      <c r="B11" s="43" t="n"/>
      <c r="C11" s="43" t="n"/>
      <c r="D11" s="43" t="n"/>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c r="AB11" s="43" t="n"/>
      <c r="AC11" s="43" t="n"/>
      <c r="AD11" s="43" t="n"/>
      <c r="AE11" s="43" t="n"/>
      <c r="AF11" s="43" t="n"/>
      <c r="AG11" s="43" t="n"/>
      <c r="AH11" s="43" t="n"/>
      <c r="AI11" s="43" t="n"/>
      <c r="AJ11" s="43" t="n"/>
      <c r="AK11" s="43" t="n"/>
      <c r="AL11" s="43" t="n"/>
      <c r="AM11" s="43" t="n"/>
      <c r="AN11" s="43" t="n"/>
      <c r="AO11" s="43" t="n"/>
      <c r="AP11" s="43" t="n"/>
      <c r="AQ11" s="43" t="n"/>
      <c r="AR11" s="43" t="n"/>
      <c r="AS11" s="43" t="n"/>
      <c r="AT11" s="43" t="n"/>
      <c r="AU11" s="43" t="n"/>
      <c r="AV11" s="43" t="n"/>
      <c r="AW11" s="43" t="n"/>
      <c r="AX11" s="43" t="n"/>
      <c r="AY11" s="43" t="n"/>
      <c r="AZ11" s="43" t="n"/>
      <c r="BA11" s="43" t="n"/>
      <c r="BB11" s="43" t="n"/>
      <c r="BC11" s="43" t="n"/>
      <c r="BD11" s="43" t="n"/>
      <c r="BE11" s="43" t="n"/>
      <c r="BF11" s="43" t="n"/>
      <c r="BG11" s="43" t="n"/>
    </row>
    <row r="12" ht="19.5" customHeight="1">
      <c r="A12" s="43" t="n"/>
      <c r="B12" s="43" t="n"/>
      <c r="C12" s="43" t="n"/>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c r="AB12" s="43" t="n"/>
      <c r="AC12" s="43" t="n"/>
      <c r="AD12" s="43" t="n"/>
      <c r="AE12" s="43" t="n"/>
      <c r="AF12" s="43" t="n"/>
      <c r="AG12" s="43" t="n"/>
      <c r="AH12" s="43" t="n"/>
      <c r="AI12" s="43" t="n"/>
      <c r="AJ12" s="43" t="n"/>
      <c r="AK12" s="43" t="n"/>
      <c r="AL12" s="43" t="n"/>
      <c r="AM12" s="43" t="n"/>
      <c r="AN12" s="43" t="n"/>
      <c r="AO12" s="43" t="n"/>
      <c r="AP12" s="43" t="n"/>
      <c r="AQ12" s="43" t="n"/>
      <c r="AR12" s="43" t="n"/>
      <c r="AS12" s="43" t="n"/>
      <c r="AT12" s="43" t="n"/>
      <c r="AU12" s="43" t="n"/>
      <c r="AV12" s="43" t="n"/>
      <c r="AW12" s="43" t="n"/>
      <c r="AX12" s="43" t="n"/>
      <c r="AY12" s="43" t="n"/>
      <c r="AZ12" s="43" t="n"/>
      <c r="BA12" s="43" t="n"/>
      <c r="BB12" s="43" t="n"/>
      <c r="BC12" s="43" t="n"/>
      <c r="BD12" s="43" t="n"/>
      <c r="BE12" s="43" t="n"/>
      <c r="BF12" s="43" t="n"/>
      <c r="BG12" s="43" t="n"/>
    </row>
    <row r="13" ht="19.5" customHeight="1" thickBot="1">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c r="AA13" s="42" t="n"/>
      <c r="AB13" s="42" t="n"/>
      <c r="AC13" s="42" t="n"/>
      <c r="AD13" s="42" t="n"/>
      <c r="AE13" s="42" t="n"/>
      <c r="AF13" s="42" t="n"/>
      <c r="AG13" s="42" t="n"/>
      <c r="AH13" s="42" t="n"/>
      <c r="AI13" s="42" t="n"/>
      <c r="AJ13" s="42" t="n"/>
      <c r="AK13" s="42" t="n"/>
      <c r="AL13" s="42" t="n"/>
      <c r="AM13" s="42" t="n"/>
      <c r="AN13" s="42" t="n"/>
      <c r="AO13" s="42" t="n"/>
      <c r="AP13" s="42" t="n"/>
      <c r="AQ13" s="42" t="n"/>
      <c r="AR13" s="42" t="n"/>
      <c r="AS13" s="42" t="n"/>
      <c r="AT13" s="42" t="n"/>
      <c r="AU13" s="42" t="n"/>
      <c r="AV13" s="42" t="n"/>
      <c r="AW13" s="42" t="n"/>
      <c r="AX13" s="42" t="n"/>
      <c r="AY13" s="42" t="n"/>
      <c r="AZ13" s="42" t="n"/>
      <c r="BA13" s="42" t="n"/>
      <c r="BB13" s="42" t="n"/>
      <c r="BC13" s="42" t="n"/>
      <c r="BD13" s="42" t="n"/>
      <c r="BE13" s="42" t="n"/>
      <c r="BF13" s="42" t="n"/>
      <c r="BG13" s="42" t="n"/>
    </row>
    <row r="14" ht="19" customHeight="1">
      <c r="A14" s="41" t="n"/>
      <c r="B14" s="40" t="n"/>
      <c r="C14" s="40" t="n"/>
      <c r="D14" s="40" t="n"/>
      <c r="E14" s="38" t="n"/>
      <c r="F14" s="38" t="n"/>
      <c r="G14" s="38" t="n"/>
      <c r="H14" s="38" t="n"/>
      <c r="I14" s="38" t="n"/>
      <c r="J14" s="38" t="n"/>
      <c r="K14" s="38" t="n"/>
      <c r="L14" s="38" t="n"/>
      <c r="M14" s="38" t="n"/>
      <c r="N14" s="38" t="n"/>
      <c r="O14" s="38" t="n"/>
      <c r="P14" s="38" t="n"/>
      <c r="Q14" s="38" t="n"/>
      <c r="R14" s="38" t="n"/>
      <c r="S14" s="38" t="n"/>
      <c r="T14" s="38"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c r="AU14" s="1" t="n"/>
      <c r="AV14" s="1" t="n"/>
      <c r="AW14" s="39" t="n"/>
      <c r="AX14" s="39" t="n"/>
      <c r="AY14" s="39" t="n"/>
      <c r="AZ14" s="39" t="n"/>
      <c r="BA14" s="39" t="n"/>
      <c r="BB14" s="39" t="n"/>
      <c r="BC14" s="39" t="n"/>
      <c r="BD14" s="39" t="n"/>
      <c r="BE14" s="38" t="n"/>
      <c r="BF14" s="38" t="n"/>
      <c r="BG14" s="38" t="n"/>
    </row>
    <row r="15" ht="39" customFormat="1" customHeight="1" s="36">
      <c r="A15" s="56" t="inlineStr">
        <is>
          <t>Priority Request</t>
        </is>
      </c>
      <c r="BF15" s="37" t="n"/>
      <c r="BG15" s="37" t="n"/>
    </row>
    <row r="16" ht="27" customHeight="1" thickBot="1">
      <c r="A16" s="54" t="inlineStr">
        <is>
          <t>Employee Information</t>
        </is>
      </c>
      <c r="B16" s="59" t="n"/>
      <c r="C16" s="59" t="n"/>
      <c r="D16" s="59" t="n"/>
      <c r="E16" s="59" t="n"/>
      <c r="F16" s="59" t="n"/>
      <c r="G16" s="59" t="n"/>
      <c r="H16" s="59" t="n"/>
      <c r="I16" s="59" t="n"/>
      <c r="J16" s="59" t="n"/>
      <c r="K16" s="59" t="n"/>
      <c r="L16" s="59" t="n"/>
      <c r="M16" s="59" t="n"/>
      <c r="N16" s="59" t="n"/>
      <c r="O16" s="55" t="inlineStr">
        <is>
          <t>Wage Detail</t>
        </is>
      </c>
      <c r="P16" s="59" t="n"/>
      <c r="Q16" s="59" t="n"/>
      <c r="R16" s="59" t="n"/>
      <c r="S16" s="59" t="n"/>
      <c r="T16" s="59" t="n"/>
      <c r="U16" s="59" t="n"/>
      <c r="V16" s="59" t="n"/>
      <c r="W16" s="59" t="n"/>
      <c r="X16" s="59" t="n"/>
      <c r="Y16" s="59" t="n"/>
      <c r="Z16" s="59" t="n"/>
      <c r="AA16" s="59" t="n"/>
      <c r="AB16" s="59" t="n"/>
      <c r="AC16" s="59" t="n"/>
      <c r="AD16" s="59" t="n"/>
      <c r="AE16" s="59" t="n"/>
      <c r="AF16" s="59" t="n"/>
      <c r="AG16" s="59" t="n"/>
      <c r="AH16" s="59" t="n"/>
      <c r="AI16" s="59" t="n"/>
      <c r="AJ16" s="59" t="n"/>
      <c r="AK16" s="59" t="n"/>
      <c r="AL16" s="59" t="n"/>
      <c r="AM16" s="59" t="n"/>
      <c r="AN16" s="59" t="n"/>
      <c r="AO16" s="59" t="n"/>
      <c r="AP16" s="59" t="n"/>
      <c r="AQ16" s="59" t="n"/>
      <c r="AR16" s="59" t="n"/>
      <c r="AS16" s="59" t="n"/>
      <c r="AT16" s="55" t="n"/>
      <c r="AU16" s="55" t="n"/>
      <c r="AV16" s="58" t="inlineStr">
        <is>
          <t>Healthcare Detail</t>
        </is>
      </c>
      <c r="AW16" s="59" t="n"/>
      <c r="AX16" s="59" t="n"/>
      <c r="AY16" s="59" t="n"/>
      <c r="AZ16" s="59" t="n"/>
      <c r="BA16" s="59" t="n"/>
      <c r="BB16" s="59" t="n"/>
      <c r="BC16" s="59" t="n"/>
      <c r="BD16" s="59" t="n"/>
      <c r="BE16" s="57" t="inlineStr">
        <is>
          <t>Paid Time Off</t>
        </is>
      </c>
      <c r="BF16" s="59" t="n"/>
      <c r="BG16" s="59" t="n"/>
    </row>
    <row r="17" ht="51" customFormat="1" customHeight="1" s="25" thickBot="1">
      <c r="A17" s="34" t="inlineStr">
        <is>
          <t>Code</t>
        </is>
      </c>
      <c r="B17" s="33" t="inlineStr">
        <is>
          <t>Employee Date of Birth</t>
        </is>
      </c>
      <c r="C17" s="32" t="inlineStr">
        <is>
          <t>Reporting
Gender</t>
        </is>
      </c>
      <c r="D17" s="32" t="inlineStr">
        <is>
          <t>Employee State of Residence</t>
        </is>
      </c>
      <c r="E17" s="32" t="inlineStr">
        <is>
          <t>Employee
Zip Code of Residence</t>
        </is>
      </c>
      <c r="F17" s="32" t="inlineStr">
        <is>
          <t>Work 
State</t>
        </is>
      </c>
      <c r="G17" s="32" t="inlineStr">
        <is>
          <t>SOC Code</t>
        </is>
      </c>
      <c r="H17" s="32" t="inlineStr">
        <is>
          <t>Union/CBA</t>
        </is>
      </c>
      <c r="I17" s="32" t="inlineStr">
        <is>
          <t>Title</t>
        </is>
      </c>
      <c r="J17" s="32" t="inlineStr">
        <is>
          <t>Department/
Cost Center</t>
        </is>
      </c>
      <c r="K17" s="32" t="inlineStr">
        <is>
          <t>Hire Date</t>
        </is>
      </c>
      <c r="L17" s="32" t="inlineStr">
        <is>
          <t>Termination Date(s) (if applicable)</t>
        </is>
      </c>
      <c r="M17" s="32" t="inlineStr">
        <is>
          <t>Rehire Date(s) (if applicable)</t>
        </is>
      </c>
      <c r="N17" s="32" t="inlineStr">
        <is>
          <t>Employee Status Code</t>
        </is>
      </c>
      <c r="O17" s="31" t="inlineStr">
        <is>
          <t>Exempt/Non-Exempt</t>
        </is>
      </c>
      <c r="P17" s="31" t="inlineStr">
        <is>
          <t>Employment Classification</t>
        </is>
      </c>
      <c r="Q17" s="31" t="inlineStr">
        <is>
          <t>Salaried/Hourly</t>
        </is>
      </c>
      <c r="R17" s="31" t="inlineStr">
        <is>
          <t>2026 Base Salary
(if salaried)</t>
        </is>
      </c>
      <c r="S17" s="31" t="inlineStr">
        <is>
          <t>2026 Hourly Rate
(if hourly)</t>
        </is>
      </c>
      <c r="T17" s="31" t="inlineStr">
        <is>
          <t>2026 Overtime Rate
(if applicable)</t>
        </is>
      </c>
      <c r="U17" s="31" t="inlineStr">
        <is>
          <t>Overtime Threshold
(if applicable)</t>
        </is>
      </c>
      <c r="V17" s="31" t="inlineStr">
        <is>
          <t>2026 Hours
(if hourly)</t>
        </is>
      </c>
      <c r="W17" s="31" t="inlineStr">
        <is>
          <t>Bonus Category</t>
        </is>
      </c>
      <c r="X17" s="31" t="inlineStr">
        <is>
          <t>2026
Bonus</t>
        </is>
      </c>
      <c r="Y17" s="31" t="inlineStr">
        <is>
          <t>2026 Other Comp
(if applicable)</t>
        </is>
      </c>
      <c r="Z17" s="31" t="inlineStr">
        <is>
          <t>2026 
Total Comp</t>
        </is>
      </c>
      <c r="AA17" s="31" t="inlineStr">
        <is>
          <t>2025 Base Salary
(if salaried)</t>
        </is>
      </c>
      <c r="AB17" s="31" t="inlineStr">
        <is>
          <t>2025 Hourly Rate 
(if hourly)</t>
        </is>
      </c>
      <c r="AC17" s="31" t="inlineStr">
        <is>
          <t>2025 Overtime Rate
(if applicable)</t>
        </is>
      </c>
      <c r="AD17" s="31" t="inlineStr">
        <is>
          <t>2025 Hours
(if hourly)</t>
        </is>
      </c>
      <c r="AE17" s="31" t="inlineStr">
        <is>
          <t>2025
Bonus</t>
        </is>
      </c>
      <c r="AF17" s="31" t="inlineStr">
        <is>
          <t>2025 Other Comp
(if applicable)</t>
        </is>
      </c>
      <c r="AG17" s="31" t="inlineStr">
        <is>
          <t>2025 
Total Comp</t>
        </is>
      </c>
      <c r="AH17" s="31" t="inlineStr">
        <is>
          <t>2024 Base Salary
(if salaried)</t>
        </is>
      </c>
      <c r="AI17" s="31" t="inlineStr">
        <is>
          <t>2024 Hourly Rate 
(if hourly)</t>
        </is>
      </c>
      <c r="AJ17" s="31" t="inlineStr">
        <is>
          <t>2024 Overtime Rate
(if applicable)</t>
        </is>
      </c>
      <c r="AK17" s="31" t="inlineStr">
        <is>
          <t>2024 Hours
(if hourly)</t>
        </is>
      </c>
      <c r="AL17" s="31" t="inlineStr">
        <is>
          <t>2024
Bonus</t>
        </is>
      </c>
      <c r="AM17" s="30" t="inlineStr">
        <is>
          <t>2024 Other Comp
(if applicable)</t>
        </is>
      </c>
      <c r="AN17" s="29" t="inlineStr">
        <is>
          <t>2024 
Total Comp</t>
        </is>
      </c>
      <c r="AO17" s="31" t="inlineStr">
        <is>
          <t>2023 Base Salary
(if salaried)</t>
        </is>
      </c>
      <c r="AP17" s="31" t="inlineStr">
        <is>
          <t>2023 Hourly Rate 
(if hourly)</t>
        </is>
      </c>
      <c r="AQ17" s="31" t="inlineStr">
        <is>
          <t>2023 Overtime Rate
(if applicable)</t>
        </is>
      </c>
      <c r="AR17" s="31" t="inlineStr">
        <is>
          <t>2023 Hours
(if hourly)</t>
        </is>
      </c>
      <c r="AS17" s="31" t="inlineStr">
        <is>
          <t>2023
Bonus</t>
        </is>
      </c>
      <c r="AT17" s="30" t="inlineStr">
        <is>
          <t>2023 Other Comp
(if applicable)</t>
        </is>
      </c>
      <c r="AU17" s="29" t="inlineStr">
        <is>
          <t>2023 
Total Comp</t>
        </is>
      </c>
      <c r="AV17" s="28" t="inlineStr">
        <is>
          <t>Medical Plan Eligible?</t>
        </is>
      </c>
      <c r="AW17" s="27" t="inlineStr">
        <is>
          <t>MEDICAL Dependent Status</t>
        </is>
      </c>
      <c r="AX17" s="26" t="inlineStr">
        <is>
          <t>Medical Plan
(please indicate plan selection)</t>
        </is>
      </c>
      <c r="AY17" s="26" t="inlineStr">
        <is>
          <t>Total
Premium</t>
        </is>
      </c>
      <c r="AZ17" s="26" t="inlineStr">
        <is>
          <t>Employer
Contribution</t>
        </is>
      </c>
      <c r="BA17" s="26" t="inlineStr">
        <is>
          <t>HSA/FSA Employer Contribution</t>
        </is>
      </c>
      <c r="BB17" s="26" t="inlineStr">
        <is>
          <t>Enrollment Count</t>
        </is>
      </c>
      <c r="BC17" s="26" t="inlineStr">
        <is>
          <t>Medical Monthly Employee Deduction</t>
        </is>
      </c>
      <c r="BD17" s="26" t="inlineStr">
        <is>
          <t>Reason for Waiving Coverage</t>
        </is>
      </c>
      <c r="BE17" s="26" t="inlineStr">
        <is>
          <t>Paid Sick Leave Hours</t>
        </is>
      </c>
      <c r="BF17" s="26" t="inlineStr">
        <is>
          <t>Paid Time Off (separate from PSL)</t>
        </is>
      </c>
      <c r="BG17" s="26" t="inlineStr">
        <is>
          <t>Additional Personal/Flexible Paid Time Off
(if applicable)</t>
        </is>
      </c>
    </row>
    <row r="18" ht="19.5" customHeight="1">
      <c r="A18" s="23" t="inlineStr">
        <is>
          <t>FP-E13</t>
        </is>
      </c>
      <c r="B18" s="22" t="inlineStr">
        <is>
          <t>12/20/1997</t>
        </is>
      </c>
      <c r="C18" s="21" t="inlineStr">
        <is>
          <t>Male</t>
        </is>
      </c>
      <c r="D18" s="21" t="inlineStr">
        <is>
          <t>TX</t>
        </is>
      </c>
      <c r="E18" s="14" t="inlineStr">
        <is>
          <t>75751</t>
        </is>
      </c>
      <c r="F18" s="14" t="inlineStr">
        <is>
          <t>TX</t>
        </is>
      </c>
      <c r="G18" s="14" t="inlineStr">
        <is>
          <t>43-6011</t>
        </is>
      </c>
      <c r="H18" s="14" t="inlineStr">
        <is>
          <t>No</t>
        </is>
      </c>
      <c r="I18" s="14" t="inlineStr">
        <is>
          <t>Executive Secretaries and Executive Administrative Assistants</t>
        </is>
      </c>
      <c r="J18" s="14" t="inlineStr">
        <is>
          <t>TX Office</t>
        </is>
      </c>
      <c r="K18" s="14" t="inlineStr">
        <is>
          <t>07/13/2020</t>
        </is>
      </c>
      <c r="L18" s="14" t="n"/>
      <c r="M18" s="14" t="n"/>
      <c r="N18" s="14" t="inlineStr">
        <is>
          <t>Active</t>
        </is>
      </c>
      <c r="O18" s="14" t="inlineStr">
        <is>
          <t>Non-Exempt</t>
        </is>
      </c>
      <c r="P18" s="14" t="inlineStr">
        <is>
          <t>Regular Full time (FT)</t>
        </is>
      </c>
      <c r="Q18" s="14" t="inlineStr">
        <is>
          <t>Hourly</t>
        </is>
      </c>
      <c r="R18" s="14" t="n"/>
      <c r="S18" s="14" t="inlineStr">
        <is>
          <t>$12.00</t>
        </is>
      </c>
      <c r="T18" s="13" t="inlineStr">
        <is>
          <t>$26.54</t>
        </is>
      </c>
      <c r="U18" s="11" t="inlineStr">
        <is>
          <t>40</t>
        </is>
      </c>
      <c r="V18" s="11" t="inlineStr">
        <is>
          <t>2,080</t>
        </is>
      </c>
      <c r="W18" s="11" t="inlineStr">
        <is>
          <t>Annual performance</t>
        </is>
      </c>
      <c r="X18" s="11" t="inlineStr">
        <is>
          <t>$1,500.00</t>
        </is>
      </c>
      <c r="Y18" s="11" t="inlineStr">
        <is>
          <t>$0.00</t>
        </is>
      </c>
      <c r="Z18" s="11" t="inlineStr">
        <is>
          <t>$24,960.00</t>
        </is>
      </c>
      <c r="AA18" s="11" t="n"/>
      <c r="AB18" s="11" t="inlineStr">
        <is>
          <t>$17.16</t>
        </is>
      </c>
      <c r="AC18" s="11" t="inlineStr">
        <is>
          <t>$25.74</t>
        </is>
      </c>
      <c r="AD18" s="11" t="inlineStr">
        <is>
          <t>2,080</t>
        </is>
      </c>
      <c r="AE18" s="11" t="inlineStr">
        <is>
          <t>$1,500.00</t>
        </is>
      </c>
      <c r="AF18" s="11" t="inlineStr">
        <is>
          <t>$0.00</t>
        </is>
      </c>
      <c r="AG18" s="11" t="inlineStr">
        <is>
          <t>$37,200.00</t>
        </is>
      </c>
      <c r="AH18" s="11" t="n"/>
      <c r="AI18" s="11" t="inlineStr">
        <is>
          <t>$16.68</t>
        </is>
      </c>
      <c r="AJ18" s="11" t="inlineStr">
        <is>
          <t>$25.02</t>
        </is>
      </c>
      <c r="AK18" s="11" t="inlineStr">
        <is>
          <t>2,080</t>
        </is>
      </c>
      <c r="AL18" s="11" t="inlineStr">
        <is>
          <t>$1,400.00</t>
        </is>
      </c>
      <c r="AM18" s="11" t="inlineStr">
        <is>
          <t>$0.00</t>
        </is>
      </c>
      <c r="AN18" s="11" t="inlineStr">
        <is>
          <t>$36,100.00</t>
        </is>
      </c>
      <c r="AO18" s="11" t="n"/>
      <c r="AP18" s="11" t="inlineStr">
        <is>
          <t>$16.15</t>
        </is>
      </c>
      <c r="AQ18" s="11" t="inlineStr">
        <is>
          <t>$24.22</t>
        </is>
      </c>
      <c r="AR18" s="11" t="inlineStr">
        <is>
          <t>2,080</t>
        </is>
      </c>
      <c r="AS18" s="11" t="inlineStr">
        <is>
          <t>$1,400.00</t>
        </is>
      </c>
      <c r="AT18" s="11" t="inlineStr">
        <is>
          <t>$0.00</t>
        </is>
      </c>
      <c r="AU18" s="11" t="inlineStr">
        <is>
          <t>$35,000.00</t>
        </is>
      </c>
      <c r="AV18" s="11" t="inlineStr">
        <is>
          <t>Yes</t>
        </is>
      </c>
      <c r="AW18" s="10" t="inlineStr">
        <is>
          <t>EF / Family</t>
        </is>
      </c>
      <c r="AX18" s="10" t="inlineStr">
        <is>
          <t>Plan A $2000</t>
        </is>
      </c>
      <c r="AY18" s="10" t="inlineStr">
        <is>
          <t>$800.00</t>
        </is>
      </c>
      <c r="AZ18" s="10" t="inlineStr">
        <is>
          <t>$720.00</t>
        </is>
      </c>
      <c r="BA18" s="10" t="inlineStr">
        <is>
          <t>$50.00</t>
        </is>
      </c>
      <c r="BB18" s="10" t="inlineStr">
        <is>
          <t>5</t>
        </is>
      </c>
      <c r="BC18" s="10" t="inlineStr">
        <is>
          <t>$80.00</t>
        </is>
      </c>
      <c r="BD18" s="20" t="n"/>
      <c r="BE18" s="19" t="inlineStr">
        <is>
          <t>40</t>
        </is>
      </c>
      <c r="BF18" s="19" t="inlineStr">
        <is>
          <t>80</t>
        </is>
      </c>
      <c r="BG18" s="19" t="inlineStr">
        <is>
          <t>16</t>
        </is>
      </c>
    </row>
    <row r="19" ht="19.5" customHeight="1">
      <c r="A19" s="23" t="inlineStr">
        <is>
          <t>FP-E14a</t>
        </is>
      </c>
      <c r="B19" s="22" t="inlineStr">
        <is>
          <t>07/19/1976</t>
        </is>
      </c>
      <c r="C19" s="21" t="inlineStr">
        <is>
          <t>Female</t>
        </is>
      </c>
      <c r="D19" s="21" t="inlineStr">
        <is>
          <t>IL</t>
        </is>
      </c>
      <c r="E19" s="14" t="inlineStr">
        <is>
          <t>62311</t>
        </is>
      </c>
      <c r="F19" s="14" t="inlineStr">
        <is>
          <t>IL</t>
        </is>
      </c>
      <c r="G19" s="14" t="inlineStr">
        <is>
          <t>49-9069</t>
        </is>
      </c>
      <c r="H19" s="14" t="inlineStr">
        <is>
          <t>No</t>
        </is>
      </c>
      <c r="I19" s="14" t="inlineStr">
        <is>
          <t>Precision Instrument and Equipment Repairers, All Other</t>
        </is>
      </c>
      <c r="J19" s="14" t="inlineStr">
        <is>
          <t>IL Office</t>
        </is>
      </c>
      <c r="K19" s="14" t="inlineStr">
        <is>
          <t>01/28/2012</t>
        </is>
      </c>
      <c r="L19" s="14" t="n"/>
      <c r="M19" s="14" t="n"/>
      <c r="N19" s="14" t="inlineStr">
        <is>
          <t>Active</t>
        </is>
      </c>
      <c r="O19" s="14" t="inlineStr">
        <is>
          <t>Non-Exempt</t>
        </is>
      </c>
      <c r="P19" s="14" t="inlineStr">
        <is>
          <t>Regular Full time (FT)</t>
        </is>
      </c>
      <c r="Q19" s="14" t="inlineStr">
        <is>
          <t>Hourly</t>
        </is>
      </c>
      <c r="R19" s="14" t="n"/>
      <c r="S19" s="14" t="inlineStr">
        <is>
          <t>$14.09</t>
        </is>
      </c>
      <c r="T19" s="13" t="inlineStr">
        <is>
          <t>$21.13</t>
        </is>
      </c>
      <c r="U19" s="11" t="inlineStr">
        <is>
          <t>40</t>
        </is>
      </c>
      <c r="V19" s="11" t="inlineStr">
        <is>
          <t>2,080</t>
        </is>
      </c>
      <c r="W19" s="11" t="inlineStr">
        <is>
          <t>Annual performance</t>
        </is>
      </c>
      <c r="X19" s="11" t="inlineStr">
        <is>
          <t>$1,200.00</t>
        </is>
      </c>
      <c r="Y19" s="11" t="inlineStr">
        <is>
          <t>$0.00</t>
        </is>
      </c>
      <c r="Z19" s="11" t="inlineStr">
        <is>
          <t>$30,500.00</t>
        </is>
      </c>
      <c r="AA19" s="11" t="n"/>
      <c r="AB19" s="11" t="inlineStr">
        <is>
          <t>$13.65</t>
        </is>
      </c>
      <c r="AC19" s="11" t="inlineStr">
        <is>
          <t>$20.48</t>
        </is>
      </c>
      <c r="AD19" s="11" t="inlineStr">
        <is>
          <t>2,080</t>
        </is>
      </c>
      <c r="AE19" s="11" t="inlineStr">
        <is>
          <t>$1,200.00</t>
        </is>
      </c>
      <c r="AF19" s="11" t="inlineStr">
        <is>
          <t>$0.00</t>
        </is>
      </c>
      <c r="AG19" s="11" t="inlineStr">
        <is>
          <t>$29,600.00</t>
        </is>
      </c>
      <c r="AH19" s="11" t="n"/>
      <c r="AI19" s="11" t="inlineStr">
        <is>
          <t>$13.27</t>
        </is>
      </c>
      <c r="AJ19" s="11" t="inlineStr">
        <is>
          <t>$19.91</t>
        </is>
      </c>
      <c r="AK19" s="11" t="inlineStr">
        <is>
          <t>2,080</t>
        </is>
      </c>
      <c r="AL19" s="11" t="inlineStr">
        <is>
          <t>$1,100.00</t>
        </is>
      </c>
      <c r="AM19" s="11" t="inlineStr">
        <is>
          <t>$0.00</t>
        </is>
      </c>
      <c r="AN19" s="11" t="inlineStr">
        <is>
          <t>$28,700.00</t>
        </is>
      </c>
      <c r="AO19" s="11" t="n"/>
      <c r="AP19" s="11" t="inlineStr">
        <is>
          <t>$12.88</t>
        </is>
      </c>
      <c r="AQ19" s="11" t="inlineStr">
        <is>
          <t>$19.32</t>
        </is>
      </c>
      <c r="AR19" s="11" t="inlineStr">
        <is>
          <t>2,080</t>
        </is>
      </c>
      <c r="AS19" s="11" t="inlineStr">
        <is>
          <t>$1,100.00</t>
        </is>
      </c>
      <c r="AT19" s="11" t="inlineStr">
        <is>
          <t>$0.00</t>
        </is>
      </c>
      <c r="AU19" s="11" t="inlineStr">
        <is>
          <t>$27,900.00</t>
        </is>
      </c>
      <c r="AV19" s="11" t="inlineStr">
        <is>
          <t>Yes</t>
        </is>
      </c>
      <c r="AW19" s="10" t="inlineStr">
        <is>
          <t>ES / Employee + Spouse</t>
        </is>
      </c>
      <c r="AX19" s="10" t="inlineStr">
        <is>
          <t>Plan A $2000</t>
        </is>
      </c>
      <c r="AY19" s="10" t="inlineStr">
        <is>
          <t>$800.00</t>
        </is>
      </c>
      <c r="AZ19" s="10" t="inlineStr">
        <is>
          <t>$720.00</t>
        </is>
      </c>
      <c r="BA19" s="10" t="inlineStr">
        <is>
          <t>$50.00</t>
        </is>
      </c>
      <c r="BB19" s="10" t="inlineStr">
        <is>
          <t>2</t>
        </is>
      </c>
      <c r="BC19" s="10" t="inlineStr">
        <is>
          <t>$80.00</t>
        </is>
      </c>
      <c r="BD19" s="20" t="n"/>
      <c r="BE19" s="19" t="inlineStr">
        <is>
          <t>40</t>
        </is>
      </c>
      <c r="BF19" s="19" t="inlineStr">
        <is>
          <t>80</t>
        </is>
      </c>
      <c r="BG19" s="19" t="inlineStr">
        <is>
          <t>16</t>
        </is>
      </c>
    </row>
    <row r="20" ht="19.5" customHeight="1">
      <c r="A20" s="23" t="inlineStr">
        <is>
          <t>FP-E14b</t>
        </is>
      </c>
      <c r="B20" s="22" t="inlineStr">
        <is>
          <t>06/26/1971</t>
        </is>
      </c>
      <c r="C20" s="21" t="inlineStr">
        <is>
          <t>Male</t>
        </is>
      </c>
      <c r="D20" s="21" t="inlineStr">
        <is>
          <t>IL</t>
        </is>
      </c>
      <c r="E20" s="14" t="inlineStr">
        <is>
          <t>62311</t>
        </is>
      </c>
      <c r="F20" s="14" t="inlineStr">
        <is>
          <t>IL</t>
        </is>
      </c>
      <c r="G20" s="14" t="inlineStr">
        <is>
          <t>53-7065</t>
        </is>
      </c>
      <c r="H20" s="14" t="inlineStr">
        <is>
          <t>No</t>
        </is>
      </c>
      <c r="I20" s="14" t="inlineStr">
        <is>
          <t>Stockers and Order Fillers</t>
        </is>
      </c>
      <c r="J20" s="14" t="inlineStr">
        <is>
          <t>IL Office</t>
        </is>
      </c>
      <c r="K20" s="14" t="inlineStr">
        <is>
          <t>05/08/2020</t>
        </is>
      </c>
      <c r="L20" s="14" t="n"/>
      <c r="M20" s="14" t="n"/>
      <c r="N20" s="14" t="inlineStr">
        <is>
          <t>Active</t>
        </is>
      </c>
      <c r="O20" s="14" t="inlineStr">
        <is>
          <t>Non-Exempt</t>
        </is>
      </c>
      <c r="P20" s="14" t="inlineStr">
        <is>
          <t>Regular Full time (FT)</t>
        </is>
      </c>
      <c r="Q20" s="14" t="inlineStr">
        <is>
          <t>Hourly</t>
        </is>
      </c>
      <c r="R20" s="14" t="n"/>
      <c r="S20" s="14" t="inlineStr">
        <is>
          <t>$11.44</t>
        </is>
      </c>
      <c r="T20" s="13" t="inlineStr">
        <is>
          <t>$17.16</t>
        </is>
      </c>
      <c r="U20" s="11" t="inlineStr">
        <is>
          <t>40</t>
        </is>
      </c>
      <c r="V20" s="11" t="inlineStr">
        <is>
          <t>2,080</t>
        </is>
      </c>
      <c r="W20" s="11" t="inlineStr">
        <is>
          <t>Annual performance</t>
        </is>
      </c>
      <c r="X20" s="11" t="inlineStr">
        <is>
          <t>$1,000.00</t>
        </is>
      </c>
      <c r="Y20" s="11" t="inlineStr">
        <is>
          <t>$0.00</t>
        </is>
      </c>
      <c r="Z20" s="11" t="inlineStr">
        <is>
          <t>$24,800.00</t>
        </is>
      </c>
      <c r="AA20" s="11" t="n"/>
      <c r="AB20" s="11" t="inlineStr">
        <is>
          <t>$11.11</t>
        </is>
      </c>
      <c r="AC20" s="11" t="inlineStr">
        <is>
          <t>$16.66</t>
        </is>
      </c>
      <c r="AD20" s="11" t="inlineStr">
        <is>
          <t>2,080</t>
        </is>
      </c>
      <c r="AE20" s="11" t="inlineStr">
        <is>
          <t>$1,000.00</t>
        </is>
      </c>
      <c r="AF20" s="11" t="inlineStr">
        <is>
          <t>$0.00</t>
        </is>
      </c>
      <c r="AG20" s="11" t="inlineStr">
        <is>
          <t>$24,100.00</t>
        </is>
      </c>
      <c r="AH20" s="11" t="n"/>
      <c r="AI20" s="11" t="inlineStr">
        <is>
          <t>$10.82</t>
        </is>
      </c>
      <c r="AJ20" s="11" t="inlineStr">
        <is>
          <t>$16.23</t>
        </is>
      </c>
      <c r="AK20" s="11" t="inlineStr">
        <is>
          <t>2,080</t>
        </is>
      </c>
      <c r="AL20" s="11" t="inlineStr">
        <is>
          <t>$900.00</t>
        </is>
      </c>
      <c r="AM20" s="11" t="inlineStr">
        <is>
          <t>$0.00</t>
        </is>
      </c>
      <c r="AN20" s="11" t="inlineStr">
        <is>
          <t>$23,400.00</t>
        </is>
      </c>
      <c r="AO20" s="11" t="n"/>
      <c r="AP20" s="11" t="inlineStr">
        <is>
          <t>$10.48</t>
        </is>
      </c>
      <c r="AQ20" s="11" t="inlineStr">
        <is>
          <t>$15.72</t>
        </is>
      </c>
      <c r="AR20" s="11" t="inlineStr">
        <is>
          <t>2,080</t>
        </is>
      </c>
      <c r="AS20" s="11" t="inlineStr">
        <is>
          <t>$900.00</t>
        </is>
      </c>
      <c r="AT20" s="11" t="inlineStr">
        <is>
          <t>$0.00</t>
        </is>
      </c>
      <c r="AU20" s="11" t="inlineStr">
        <is>
          <t>$22,700.00</t>
        </is>
      </c>
      <c r="AV20" s="11" t="inlineStr">
        <is>
          <t>Yes</t>
        </is>
      </c>
      <c r="AW20" s="10" t="inlineStr">
        <is>
          <t>EC / Employee + Children</t>
        </is>
      </c>
      <c r="AX20" s="10" t="inlineStr">
        <is>
          <t>Plan A $2000</t>
        </is>
      </c>
      <c r="AY20" s="10" t="inlineStr">
        <is>
          <t>$800.00</t>
        </is>
      </c>
      <c r="AZ20" s="10" t="inlineStr">
        <is>
          <t>$720.00</t>
        </is>
      </c>
      <c r="BA20" s="10" t="inlineStr">
        <is>
          <t>$50.00</t>
        </is>
      </c>
      <c r="BB20" s="10" t="inlineStr">
        <is>
          <t>3</t>
        </is>
      </c>
      <c r="BC20" s="10" t="inlineStr">
        <is>
          <t>$80.00</t>
        </is>
      </c>
      <c r="BD20" s="20" t="n"/>
      <c r="BE20" s="19" t="inlineStr">
        <is>
          <t>40</t>
        </is>
      </c>
      <c r="BF20" s="19" t="inlineStr">
        <is>
          <t>80</t>
        </is>
      </c>
      <c r="BG20" s="19" t="inlineStr">
        <is>
          <t>16</t>
        </is>
      </c>
    </row>
    <row r="21" ht="19.5" customHeight="1">
      <c r="A21" s="23" t="inlineStr">
        <is>
          <t>FP-E15</t>
        </is>
      </c>
      <c r="B21" s="22" t="inlineStr">
        <is>
          <t>10/22/1987</t>
        </is>
      </c>
      <c r="C21" s="21" t="inlineStr">
        <is>
          <t>Male</t>
        </is>
      </c>
      <c r="D21" s="21" t="inlineStr">
        <is>
          <t>CA</t>
        </is>
      </c>
      <c r="E21" s="14" t="inlineStr">
        <is>
          <t>94501</t>
        </is>
      </c>
      <c r="F21" s="14" t="inlineStr">
        <is>
          <t>CA</t>
        </is>
      </c>
      <c r="G21" s="14" t="inlineStr">
        <is>
          <t>29-9093</t>
        </is>
      </c>
      <c r="H21" s="14" t="inlineStr">
        <is>
          <t>No</t>
        </is>
      </c>
      <c r="I21" s="14" t="inlineStr">
        <is>
          <t>Surgical Assistants</t>
        </is>
      </c>
      <c r="J21" s="14" t="inlineStr">
        <is>
          <t>CA Office</t>
        </is>
      </c>
      <c r="K21" s="14" t="inlineStr">
        <is>
          <t>05/04/2021</t>
        </is>
      </c>
      <c r="L21" s="14" t="n"/>
      <c r="M21" s="14" t="n"/>
      <c r="N21" s="14" t="inlineStr">
        <is>
          <t>Active</t>
        </is>
      </c>
      <c r="O21" s="14" t="inlineStr">
        <is>
          <t>Non-Exempt</t>
        </is>
      </c>
      <c r="P21" s="14" t="inlineStr">
        <is>
          <t>Regular Full time (FT)</t>
        </is>
      </c>
      <c r="Q21" s="14" t="inlineStr">
        <is>
          <t>Hourly</t>
        </is>
      </c>
      <c r="R21" s="14" t="n"/>
      <c r="S21" s="14" t="inlineStr">
        <is>
          <t>$19.28</t>
        </is>
      </c>
      <c r="T21" s="13" t="inlineStr">
        <is>
          <t>$28.92</t>
        </is>
      </c>
      <c r="U21" s="11" t="inlineStr">
        <is>
          <t>40</t>
        </is>
      </c>
      <c r="V21" s="11" t="inlineStr">
        <is>
          <t>2,080</t>
        </is>
      </c>
      <c r="W21" s="11" t="inlineStr">
        <is>
          <t>Annual performance</t>
        </is>
      </c>
      <c r="X21" s="11" t="inlineStr">
        <is>
          <t>$1,700.00</t>
        </is>
      </c>
      <c r="Y21" s="11" t="inlineStr">
        <is>
          <t>$0.00</t>
        </is>
      </c>
      <c r="Z21" s="11" t="inlineStr">
        <is>
          <t>$41,800.00</t>
        </is>
      </c>
      <c r="AA21" s="11" t="n"/>
      <c r="AB21" s="11" t="inlineStr">
        <is>
          <t>$18.75</t>
        </is>
      </c>
      <c r="AC21" s="11" t="inlineStr">
        <is>
          <t>$28.12</t>
        </is>
      </c>
      <c r="AD21" s="11" t="inlineStr">
        <is>
          <t>2,080</t>
        </is>
      </c>
      <c r="AE21" s="11" t="inlineStr">
        <is>
          <t>$1,600.00</t>
        </is>
      </c>
      <c r="AF21" s="11" t="inlineStr">
        <is>
          <t>$0.00</t>
        </is>
      </c>
      <c r="AG21" s="11" t="inlineStr">
        <is>
          <t>$40,600.00</t>
        </is>
      </c>
      <c r="AH21" s="11" t="n"/>
      <c r="AI21" s="11" t="inlineStr">
        <is>
          <t>$18.17</t>
        </is>
      </c>
      <c r="AJ21" s="11" t="inlineStr">
        <is>
          <t>$27.26</t>
        </is>
      </c>
      <c r="AK21" s="11" t="inlineStr">
        <is>
          <t>2,080</t>
        </is>
      </c>
      <c r="AL21" s="11" t="inlineStr">
        <is>
          <t>$1,600.00</t>
        </is>
      </c>
      <c r="AM21" s="11" t="inlineStr">
        <is>
          <t>$0.00</t>
        </is>
      </c>
      <c r="AN21" s="11" t="inlineStr">
        <is>
          <t>$39,400.00</t>
        </is>
      </c>
      <c r="AO21" s="11" t="n"/>
      <c r="AP21" s="11" t="inlineStr">
        <is>
          <t>$17.69</t>
        </is>
      </c>
      <c r="AQ21" s="11" t="inlineStr">
        <is>
          <t>$26.54</t>
        </is>
      </c>
      <c r="AR21" s="11" t="inlineStr">
        <is>
          <t>2,080</t>
        </is>
      </c>
      <c r="AS21" s="11" t="inlineStr">
        <is>
          <t>$1,500.00</t>
        </is>
      </c>
      <c r="AT21" s="11" t="inlineStr">
        <is>
          <t>$0.00</t>
        </is>
      </c>
      <c r="AU21" s="11" t="inlineStr">
        <is>
          <t>$38,300.00</t>
        </is>
      </c>
      <c r="AV21" s="11" t="inlineStr">
        <is>
          <t>No</t>
        </is>
      </c>
      <c r="AW21" s="10" t="inlineStr"/>
      <c r="AX21" s="10" t="inlineStr">
        <is>
          <t>Plan A $2000</t>
        </is>
      </c>
      <c r="AY21" s="10" t="inlineStr">
        <is>
          <t>$800.00</t>
        </is>
      </c>
      <c r="AZ21" s="10" t="inlineStr">
        <is>
          <t>$720.00</t>
        </is>
      </c>
      <c r="BA21" s="10" t="inlineStr">
        <is>
          <t>$50.00</t>
        </is>
      </c>
      <c r="BB21" s="10" t="inlineStr">
        <is>
          <t>1</t>
        </is>
      </c>
      <c r="BC21" s="10" t="inlineStr">
        <is>
          <t>$80.00</t>
        </is>
      </c>
      <c r="BD21" s="20" t="inlineStr">
        <is>
          <t>Covered under spouse</t>
        </is>
      </c>
      <c r="BE21" s="19" t="inlineStr">
        <is>
          <t>40</t>
        </is>
      </c>
      <c r="BF21" s="19" t="inlineStr">
        <is>
          <t>80</t>
        </is>
      </c>
      <c r="BG21" s="19" t="inlineStr">
        <is>
          <t>16</t>
        </is>
      </c>
    </row>
    <row r="22" ht="19.5" customHeight="1">
      <c r="A22" s="23" t="inlineStr">
        <is>
          <t>FP-E16</t>
        </is>
      </c>
      <c r="B22" s="22" t="inlineStr">
        <is>
          <t>05/21/1986</t>
        </is>
      </c>
      <c r="C22" s="21" t="inlineStr">
        <is>
          <t>Female</t>
        </is>
      </c>
      <c r="D22" s="21" t="inlineStr">
        <is>
          <t>GA</t>
        </is>
      </c>
      <c r="E22" s="14" t="inlineStr">
        <is>
          <t>31513</t>
        </is>
      </c>
      <c r="F22" s="14" t="inlineStr">
        <is>
          <t>GA</t>
        </is>
      </c>
      <c r="G22" s="14" t="inlineStr">
        <is>
          <t>15-1299</t>
        </is>
      </c>
      <c r="H22" s="14" t="inlineStr">
        <is>
          <t>No</t>
        </is>
      </c>
      <c r="I22" s="14" t="inlineStr">
        <is>
          <t>Geographic Information Systems Technologists and Technicians</t>
        </is>
      </c>
      <c r="J22" s="14" t="inlineStr">
        <is>
          <t>GA Office</t>
        </is>
      </c>
      <c r="K22" s="14" t="inlineStr">
        <is>
          <t>04/04/2018</t>
        </is>
      </c>
      <c r="L22" s="14" t="n"/>
      <c r="M22" s="14" t="n"/>
      <c r="N22" s="14" t="inlineStr">
        <is>
          <t>Active</t>
        </is>
      </c>
      <c r="O22" s="14" t="inlineStr">
        <is>
          <t>Non-Exempt</t>
        </is>
      </c>
      <c r="P22" s="14" t="inlineStr">
        <is>
          <t>Regular Full time (FT)</t>
        </is>
      </c>
      <c r="Q22" s="14" t="inlineStr">
        <is>
          <t>Hourly</t>
        </is>
      </c>
      <c r="R22" s="14" t="n"/>
      <c r="S22" s="14" t="inlineStr">
        <is>
          <t>$19.95</t>
        </is>
      </c>
      <c r="T22" s="13" t="inlineStr">
        <is>
          <t>$29.92</t>
        </is>
      </c>
      <c r="U22" s="11" t="inlineStr">
        <is>
          <t>40</t>
        </is>
      </c>
      <c r="V22" s="11" t="inlineStr">
        <is>
          <t>2,080</t>
        </is>
      </c>
      <c r="W22" s="11" t="inlineStr">
        <is>
          <t>Annual performance</t>
        </is>
      </c>
      <c r="X22" s="11" t="inlineStr">
        <is>
          <t>$1,700.00</t>
        </is>
      </c>
      <c r="Y22" s="11" t="inlineStr">
        <is>
          <t>$0.00</t>
        </is>
      </c>
      <c r="Z22" s="11" t="inlineStr">
        <is>
          <t>$43,200.00</t>
        </is>
      </c>
      <c r="AA22" s="11" t="n"/>
      <c r="AB22" s="11" t="inlineStr">
        <is>
          <t>$19.33</t>
        </is>
      </c>
      <c r="AC22" s="11" t="inlineStr">
        <is>
          <t>$28.99</t>
        </is>
      </c>
      <c r="AD22" s="11" t="inlineStr">
        <is>
          <t>2,080</t>
        </is>
      </c>
      <c r="AE22" s="11" t="inlineStr">
        <is>
          <t>$1,700.00</t>
        </is>
      </c>
      <c r="AF22" s="11" t="inlineStr">
        <is>
          <t>$0.00</t>
        </is>
      </c>
      <c r="AG22" s="11" t="inlineStr">
        <is>
          <t>$41,900.00</t>
        </is>
      </c>
      <c r="AH22" s="11" t="n"/>
      <c r="AI22" s="11" t="inlineStr">
        <is>
          <t>$18.80</t>
        </is>
      </c>
      <c r="AJ22" s="11" t="inlineStr">
        <is>
          <t>$28.20</t>
        </is>
      </c>
      <c r="AK22" s="11" t="inlineStr">
        <is>
          <t>2,080</t>
        </is>
      </c>
      <c r="AL22" s="11" t="inlineStr">
        <is>
          <t>$1,600.00</t>
        </is>
      </c>
      <c r="AM22" s="11" t="inlineStr">
        <is>
          <t>$0.00</t>
        </is>
      </c>
      <c r="AN22" s="11" t="inlineStr">
        <is>
          <t>$40,700.00</t>
        </is>
      </c>
      <c r="AO22" s="11" t="n"/>
      <c r="AP22" s="11" t="inlineStr">
        <is>
          <t>$18.22</t>
        </is>
      </c>
      <c r="AQ22" s="11" t="inlineStr">
        <is>
          <t>$27.33</t>
        </is>
      </c>
      <c r="AR22" s="11" t="inlineStr">
        <is>
          <t>2,080</t>
        </is>
      </c>
      <c r="AS22" s="11" t="inlineStr">
        <is>
          <t>$1,600.00</t>
        </is>
      </c>
      <c r="AT22" s="11" t="inlineStr">
        <is>
          <t>$0.00</t>
        </is>
      </c>
      <c r="AU22" s="11" t="inlineStr">
        <is>
          <t>$39,500.00</t>
        </is>
      </c>
      <c r="AV22" s="11" t="inlineStr">
        <is>
          <t>Yes</t>
        </is>
      </c>
      <c r="AW22" s="10" t="inlineStr">
        <is>
          <t>EC / Employee + Children</t>
        </is>
      </c>
      <c r="AX22" s="10" t="inlineStr">
        <is>
          <t>Plan A $2000</t>
        </is>
      </c>
      <c r="AY22" s="10" t="inlineStr">
        <is>
          <t>$800.00</t>
        </is>
      </c>
      <c r="AZ22" s="10" t="inlineStr">
        <is>
          <t>$720.00</t>
        </is>
      </c>
      <c r="BA22" s="10" t="inlineStr">
        <is>
          <t>$50.00</t>
        </is>
      </c>
      <c r="BB22" s="10" t="inlineStr">
        <is>
          <t>1</t>
        </is>
      </c>
      <c r="BC22" s="10" t="inlineStr">
        <is>
          <t>$80.00</t>
        </is>
      </c>
      <c r="BD22" s="20" t="n"/>
      <c r="BE22" s="19" t="inlineStr">
        <is>
          <t>40</t>
        </is>
      </c>
      <c r="BF22" s="19" t="inlineStr">
        <is>
          <t>80</t>
        </is>
      </c>
      <c r="BG22" s="19" t="inlineStr">
        <is>
          <t>16</t>
        </is>
      </c>
    </row>
    <row r="23" ht="19.5" customHeight="1">
      <c r="A23" s="23" t="inlineStr">
        <is>
          <t>FP-E17</t>
        </is>
      </c>
      <c r="B23" s="22" t="inlineStr">
        <is>
          <t>07/11/1996</t>
        </is>
      </c>
      <c r="C23" s="21" t="inlineStr">
        <is>
          <t>Female</t>
        </is>
      </c>
      <c r="D23" s="21" t="inlineStr">
        <is>
          <t>PA</t>
        </is>
      </c>
      <c r="E23" s="14" t="inlineStr">
        <is>
          <t>15201</t>
        </is>
      </c>
      <c r="F23" s="14" t="inlineStr">
        <is>
          <t>PA</t>
        </is>
      </c>
      <c r="G23" s="14" t="inlineStr">
        <is>
          <t>47-2181</t>
        </is>
      </c>
      <c r="H23" s="14" t="inlineStr">
        <is>
          <t>No</t>
        </is>
      </c>
      <c r="I23" s="14" t="inlineStr">
        <is>
          <t>Roofers</t>
        </is>
      </c>
      <c r="J23" s="14" t="inlineStr">
        <is>
          <t>WI Office</t>
        </is>
      </c>
      <c r="K23" s="14" t="inlineStr">
        <is>
          <t>05/27/2025</t>
        </is>
      </c>
      <c r="L23" s="14" t="n"/>
      <c r="M23" s="14" t="n"/>
      <c r="N23" s="14" t="inlineStr">
        <is>
          <t>Active</t>
        </is>
      </c>
      <c r="O23" s="14" t="inlineStr">
        <is>
          <t>Non-Exempt</t>
        </is>
      </c>
      <c r="P23" s="14" t="inlineStr">
        <is>
          <t>Regular Full time (FT)</t>
        </is>
      </c>
      <c r="Q23" s="14" t="inlineStr">
        <is>
          <t>Hourly</t>
        </is>
      </c>
      <c r="R23" s="14" t="n"/>
      <c r="S23" s="14" t="inlineStr">
        <is>
          <t>$14.42</t>
        </is>
      </c>
      <c r="T23" s="13" t="inlineStr">
        <is>
          <t>$21.63</t>
        </is>
      </c>
      <c r="U23" s="11" t="inlineStr">
        <is>
          <t>40</t>
        </is>
      </c>
      <c r="V23" s="11" t="inlineStr">
        <is>
          <t>2,080</t>
        </is>
      </c>
      <c r="W23" s="11" t="inlineStr">
        <is>
          <t>Annual performance</t>
        </is>
      </c>
      <c r="X23" s="11" t="inlineStr">
        <is>
          <t>$1,300.00</t>
        </is>
      </c>
      <c r="Y23" s="11" t="inlineStr">
        <is>
          <t>$0.00</t>
        </is>
      </c>
      <c r="Z23" s="11" t="inlineStr">
        <is>
          <t>$31,300.00</t>
        </is>
      </c>
      <c r="AA23" s="11" t="n"/>
      <c r="AB23" s="11" t="inlineStr">
        <is>
          <t>$14.04</t>
        </is>
      </c>
      <c r="AC23" s="11" t="inlineStr">
        <is>
          <t>$21.06</t>
        </is>
      </c>
      <c r="AD23" s="11" t="inlineStr">
        <is>
          <t>2,080</t>
        </is>
      </c>
      <c r="AE23" s="11" t="inlineStr">
        <is>
          <t>$1,200.00</t>
        </is>
      </c>
      <c r="AF23" s="11" t="inlineStr">
        <is>
          <t>$0.00</t>
        </is>
      </c>
      <c r="AG23" s="11" t="inlineStr">
        <is>
          <t>$30,400.00</t>
        </is>
      </c>
      <c r="AH23" s="11" t="n"/>
      <c r="AI23" s="11" t="inlineStr">
        <is>
          <t>$13.61</t>
        </is>
      </c>
      <c r="AJ23" s="11" t="inlineStr">
        <is>
          <t>$20.41</t>
        </is>
      </c>
      <c r="AK23" s="11" t="inlineStr">
        <is>
          <t>2,080</t>
        </is>
      </c>
      <c r="AL23" s="11" t="inlineStr">
        <is>
          <t>$1,200.00</t>
        </is>
      </c>
      <c r="AM23" s="11" t="inlineStr">
        <is>
          <t>$0.00</t>
        </is>
      </c>
      <c r="AN23" s="11" t="inlineStr">
        <is>
          <t>$29,500.00</t>
        </is>
      </c>
      <c r="AO23" s="11" t="n"/>
      <c r="AP23" s="11" t="inlineStr">
        <is>
          <t>$13.22</t>
        </is>
      </c>
      <c r="AQ23" s="11" t="inlineStr">
        <is>
          <t>$19.83</t>
        </is>
      </c>
      <c r="AR23" s="11" t="inlineStr">
        <is>
          <t>2,080</t>
        </is>
      </c>
      <c r="AS23" s="11" t="inlineStr">
        <is>
          <t>$1,100.00</t>
        </is>
      </c>
      <c r="AT23" s="11" t="inlineStr">
        <is>
          <t>$0.00</t>
        </is>
      </c>
      <c r="AU23" s="11" t="inlineStr">
        <is>
          <t>$28,600.00</t>
        </is>
      </c>
      <c r="AV23" s="11" t="inlineStr">
        <is>
          <t>Yes</t>
        </is>
      </c>
      <c r="AW23" s="10" t="inlineStr">
        <is>
          <t>EE / Employee Only</t>
        </is>
      </c>
      <c r="AX23" s="10" t="inlineStr">
        <is>
          <t>Plan A $2000</t>
        </is>
      </c>
      <c r="AY23" s="10" t="inlineStr">
        <is>
          <t>$800.00</t>
        </is>
      </c>
      <c r="AZ23" s="10" t="inlineStr">
        <is>
          <t>$720.00</t>
        </is>
      </c>
      <c r="BA23" s="10" t="inlineStr">
        <is>
          <t>$50.00</t>
        </is>
      </c>
      <c r="BB23" s="10" t="inlineStr">
        <is>
          <t>1</t>
        </is>
      </c>
      <c r="BC23" s="10" t="inlineStr">
        <is>
          <t>$80.00</t>
        </is>
      </c>
      <c r="BD23" s="20" t="n"/>
      <c r="BE23" s="19" t="inlineStr">
        <is>
          <t>40</t>
        </is>
      </c>
      <c r="BF23" s="19" t="inlineStr">
        <is>
          <t>80</t>
        </is>
      </c>
      <c r="BG23" s="19" t="inlineStr">
        <is>
          <t>16</t>
        </is>
      </c>
    </row>
    <row r="24" ht="19.5" customHeight="1">
      <c r="A24" s="23" t="n"/>
      <c r="B24" s="22" t="n"/>
      <c r="C24" s="21" t="n"/>
      <c r="D24" s="21" t="n"/>
      <c r="E24" s="14" t="n"/>
      <c r="F24" s="14" t="n"/>
      <c r="G24" s="14" t="n"/>
      <c r="H24" s="14" t="n"/>
      <c r="I24" s="14" t="n"/>
      <c r="J24" s="14" t="n"/>
      <c r="K24" s="14" t="n"/>
      <c r="L24" s="14" t="n"/>
      <c r="M24" s="14" t="n"/>
      <c r="N24" s="14" t="n"/>
      <c r="O24" s="14" t="n"/>
      <c r="P24" s="14" t="n"/>
      <c r="Q24" s="14" t="n"/>
      <c r="R24" s="14" t="n"/>
      <c r="S24" s="14" t="n"/>
      <c r="T24" s="13"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0" t="n"/>
      <c r="AX24" s="10" t="n"/>
      <c r="AY24" s="10" t="n"/>
      <c r="AZ24" s="10" t="n"/>
      <c r="BA24" s="10" t="n"/>
      <c r="BB24" s="10" t="n"/>
      <c r="BC24" s="10" t="n"/>
      <c r="BD24" s="20" t="n"/>
      <c r="BE24" s="19" t="n"/>
      <c r="BF24" s="19" t="n"/>
      <c r="BG24" s="19" t="n"/>
    </row>
    <row r="25" ht="19.5" customHeight="1">
      <c r="A25" s="23" t="n"/>
      <c r="B25" s="22" t="n"/>
      <c r="C25" s="21" t="n"/>
      <c r="D25" s="21" t="n"/>
      <c r="E25" s="14" t="n"/>
      <c r="F25" s="14" t="n"/>
      <c r="G25" s="14" t="n"/>
      <c r="H25" s="14" t="n"/>
      <c r="I25" s="14" t="n"/>
      <c r="J25" s="14" t="n"/>
      <c r="K25" s="14" t="n"/>
      <c r="L25" s="14" t="n"/>
      <c r="M25" s="14" t="n"/>
      <c r="N25" s="14" t="n"/>
      <c r="O25" s="14" t="n"/>
      <c r="P25" s="14" t="n"/>
      <c r="Q25" s="14" t="n"/>
      <c r="R25" s="14" t="n"/>
      <c r="S25" s="14" t="n"/>
      <c r="T25" s="13"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0" t="n"/>
      <c r="AX25" s="10" t="n"/>
      <c r="AY25" s="10" t="n"/>
      <c r="AZ25" s="10" t="n"/>
      <c r="BA25" s="10" t="n"/>
      <c r="BB25" s="10" t="n"/>
      <c r="BC25" s="10" t="n"/>
      <c r="BD25" s="20" t="n"/>
      <c r="BE25" s="19" t="n"/>
      <c r="BF25" s="19" t="n"/>
      <c r="BG25" s="19" t="n"/>
    </row>
    <row r="26" ht="19.5" customHeight="1">
      <c r="A26" s="23" t="n"/>
      <c r="B26" s="22" t="n"/>
      <c r="C26" s="21" t="n"/>
      <c r="D26" s="21" t="n"/>
      <c r="E26" s="14" t="n"/>
      <c r="F26" s="14" t="n"/>
      <c r="G26" s="14" t="n"/>
      <c r="H26" s="14" t="n"/>
      <c r="I26" s="14" t="n"/>
      <c r="J26" s="14" t="n"/>
      <c r="K26" s="14" t="n"/>
      <c r="L26" s="14" t="n"/>
      <c r="M26" s="14" t="n"/>
      <c r="N26" s="14" t="n"/>
      <c r="O26" s="14" t="n"/>
      <c r="P26" s="14" t="n"/>
      <c r="Q26" s="14" t="n"/>
      <c r="R26" s="14" t="n"/>
      <c r="S26" s="14" t="n"/>
      <c r="T26" s="13"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0" t="n"/>
      <c r="AX26" s="10" t="n"/>
      <c r="AY26" s="10" t="n"/>
      <c r="AZ26" s="10" t="n"/>
      <c r="BA26" s="10" t="n"/>
      <c r="BB26" s="10" t="n"/>
      <c r="BC26" s="10" t="n"/>
      <c r="BD26" s="20" t="n"/>
      <c r="BE26" s="19" t="n"/>
      <c r="BF26" s="19" t="n"/>
      <c r="BG26" s="19" t="n"/>
    </row>
    <row r="27" ht="19.5" customHeight="1">
      <c r="A27" s="23" t="n"/>
      <c r="B27" s="22" t="n"/>
      <c r="C27" s="21" t="n"/>
      <c r="D27" s="21" t="n"/>
      <c r="E27" s="14" t="n"/>
      <c r="F27" s="14" t="n"/>
      <c r="G27" s="14" t="n"/>
      <c r="H27" s="14" t="n"/>
      <c r="I27" s="14" t="n"/>
      <c r="J27" s="14" t="n"/>
      <c r="K27" s="14" t="n"/>
      <c r="L27" s="14" t="n"/>
      <c r="M27" s="14" t="n"/>
      <c r="N27" s="14" t="n"/>
      <c r="O27" s="14" t="n"/>
      <c r="P27" s="14" t="n"/>
      <c r="Q27" s="14" t="n"/>
      <c r="R27" s="14" t="n"/>
      <c r="S27" s="14" t="n"/>
      <c r="T27" s="13"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0" t="n"/>
      <c r="AX27" s="10" t="n"/>
      <c r="AY27" s="10" t="n"/>
      <c r="AZ27" s="10" t="n"/>
      <c r="BA27" s="10" t="n"/>
      <c r="BB27" s="10" t="n"/>
      <c r="BC27" s="10" t="n"/>
      <c r="BD27" s="20" t="n"/>
      <c r="BE27" s="19" t="n"/>
      <c r="BF27" s="19" t="n"/>
      <c r="BG27" s="19" t="n"/>
    </row>
    <row r="28" ht="19.5" customHeight="1">
      <c r="A28" s="23" t="n"/>
      <c r="B28" s="22" t="n"/>
      <c r="C28" s="21" t="n"/>
      <c r="D28" s="21" t="n"/>
      <c r="E28" s="14" t="n"/>
      <c r="F28" s="14" t="n"/>
      <c r="G28" s="14" t="n"/>
      <c r="H28" s="14" t="n"/>
      <c r="I28" s="14" t="n"/>
      <c r="J28" s="14" t="n"/>
      <c r="K28" s="14" t="n"/>
      <c r="L28" s="14" t="n"/>
      <c r="M28" s="14" t="n"/>
      <c r="N28" s="14" t="n"/>
      <c r="O28" s="14" t="n"/>
      <c r="P28" s="14" t="n"/>
      <c r="Q28" s="14" t="n"/>
      <c r="R28" s="14" t="n"/>
      <c r="S28" s="14" t="n"/>
      <c r="T28" s="13"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0" t="n"/>
      <c r="AX28" s="10" t="n"/>
      <c r="AY28" s="10" t="n"/>
      <c r="AZ28" s="10" t="n"/>
      <c r="BA28" s="10" t="n"/>
      <c r="BB28" s="10" t="n"/>
      <c r="BC28" s="10" t="n"/>
      <c r="BD28" s="20" t="n"/>
      <c r="BE28" s="19" t="n"/>
      <c r="BF28" s="19" t="n"/>
      <c r="BG28" s="19" t="n"/>
    </row>
    <row r="29" ht="19.5" customHeight="1">
      <c r="A29" s="23" t="n"/>
      <c r="B29" s="22" t="n"/>
      <c r="C29" s="21" t="n"/>
      <c r="D29" s="21" t="n"/>
      <c r="E29" s="14" t="n"/>
      <c r="F29" s="14" t="n"/>
      <c r="G29" s="14" t="n"/>
      <c r="H29" s="14" t="n"/>
      <c r="I29" s="14" t="n"/>
      <c r="J29" s="14" t="n"/>
      <c r="K29" s="14" t="n"/>
      <c r="L29" s="14" t="n"/>
      <c r="M29" s="14" t="n"/>
      <c r="N29" s="14" t="n"/>
      <c r="O29" s="14" t="n"/>
      <c r="P29" s="14" t="n"/>
      <c r="Q29" s="14" t="n"/>
      <c r="R29" s="14" t="n"/>
      <c r="S29" s="14" t="n"/>
      <c r="T29" s="13"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0" t="n"/>
      <c r="AX29" s="10" t="n"/>
      <c r="AY29" s="10" t="n"/>
      <c r="AZ29" s="10" t="n"/>
      <c r="BA29" s="10" t="n"/>
      <c r="BB29" s="10" t="n"/>
      <c r="BC29" s="10" t="n"/>
      <c r="BD29" s="20" t="n"/>
      <c r="BE29" s="19" t="n"/>
      <c r="BF29" s="19" t="n"/>
      <c r="BG29" s="19" t="n"/>
    </row>
    <row r="30" ht="19.5" customHeight="1">
      <c r="A30" s="23" t="n"/>
      <c r="B30" s="22" t="n"/>
      <c r="C30" s="21" t="n"/>
      <c r="D30" s="21" t="n"/>
      <c r="E30" s="14" t="n"/>
      <c r="F30" s="14" t="n"/>
      <c r="G30" s="14" t="n"/>
      <c r="H30" s="14" t="n"/>
      <c r="I30" s="14" t="n"/>
      <c r="J30" s="14" t="n"/>
      <c r="K30" s="14" t="n"/>
      <c r="L30" s="14" t="n"/>
      <c r="M30" s="14" t="n"/>
      <c r="N30" s="14" t="n"/>
      <c r="O30" s="14" t="n"/>
      <c r="P30" s="14" t="n"/>
      <c r="Q30" s="14" t="n"/>
      <c r="R30" s="14" t="n"/>
      <c r="S30" s="14" t="n"/>
      <c r="T30" s="13"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0" t="n"/>
      <c r="AX30" s="10" t="n"/>
      <c r="AY30" s="10" t="n"/>
      <c r="AZ30" s="10" t="n"/>
      <c r="BA30" s="10" t="n"/>
      <c r="BB30" s="10" t="n"/>
      <c r="BC30" s="10" t="n"/>
      <c r="BD30" s="20" t="n"/>
      <c r="BE30" s="19" t="n"/>
      <c r="BF30" s="19" t="n"/>
      <c r="BG30" s="19" t="n"/>
    </row>
    <row r="31" ht="19.5" customHeight="1">
      <c r="A31" s="23" t="n"/>
      <c r="B31" s="22" t="n"/>
      <c r="C31" s="21" t="n"/>
      <c r="D31" s="21" t="n"/>
      <c r="E31" s="14" t="n"/>
      <c r="F31" s="14" t="n"/>
      <c r="G31" s="14" t="n"/>
      <c r="H31" s="14" t="n"/>
      <c r="I31" s="14" t="n"/>
      <c r="J31" s="14" t="n"/>
      <c r="K31" s="14" t="n"/>
      <c r="L31" s="14" t="n"/>
      <c r="M31" s="14" t="n"/>
      <c r="N31" s="14" t="n"/>
      <c r="O31" s="14" t="n"/>
      <c r="P31" s="14" t="n"/>
      <c r="Q31" s="14" t="n"/>
      <c r="R31" s="14" t="n"/>
      <c r="S31" s="14" t="n"/>
      <c r="T31" s="13"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0" t="n"/>
      <c r="AX31" s="10" t="n"/>
      <c r="AY31" s="10" t="n"/>
      <c r="AZ31" s="10" t="n"/>
      <c r="BA31" s="10" t="n"/>
      <c r="BB31" s="10" t="n"/>
      <c r="BC31" s="10" t="n"/>
      <c r="BD31" s="20" t="n"/>
      <c r="BE31" s="19" t="n"/>
      <c r="BF31" s="19" t="n"/>
      <c r="BG31" s="19" t="n"/>
    </row>
    <row r="32" ht="19.5" customHeight="1">
      <c r="A32" s="23" t="n"/>
      <c r="B32" s="22" t="n"/>
      <c r="C32" s="21" t="n"/>
      <c r="D32" s="21" t="n"/>
      <c r="E32" s="14" t="n"/>
      <c r="F32" s="14" t="n"/>
      <c r="G32" s="14" t="n"/>
      <c r="H32" s="14" t="n"/>
      <c r="I32" s="14" t="n"/>
      <c r="J32" s="14" t="n"/>
      <c r="K32" s="14" t="n"/>
      <c r="L32" s="14" t="n"/>
      <c r="M32" s="14" t="n"/>
      <c r="N32" s="14" t="n"/>
      <c r="O32" s="14" t="n"/>
      <c r="P32" s="14" t="n"/>
      <c r="Q32" s="14" t="n"/>
      <c r="R32" s="14" t="n"/>
      <c r="S32" s="14" t="n"/>
      <c r="T32" s="13"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0" t="n"/>
      <c r="AX32" s="10" t="n"/>
      <c r="AY32" s="10" t="n"/>
      <c r="AZ32" s="10" t="n"/>
      <c r="BA32" s="10" t="n"/>
      <c r="BB32" s="10" t="n"/>
      <c r="BC32" s="10" t="n"/>
      <c r="BD32" s="20" t="n"/>
      <c r="BE32" s="19" t="n"/>
      <c r="BF32" s="19" t="n"/>
      <c r="BG32" s="19" t="n"/>
    </row>
    <row r="33" ht="19.5" customHeight="1">
      <c r="A33" s="23" t="n"/>
      <c r="B33" s="22" t="n"/>
      <c r="C33" s="21" t="n"/>
      <c r="D33" s="21" t="n"/>
      <c r="E33" s="14" t="n"/>
      <c r="F33" s="14" t="n"/>
      <c r="G33" s="14" t="n"/>
      <c r="H33" s="14" t="n"/>
      <c r="I33" s="14" t="n"/>
      <c r="J33" s="14" t="n"/>
      <c r="K33" s="14" t="n"/>
      <c r="L33" s="14" t="n"/>
      <c r="M33" s="14" t="n"/>
      <c r="N33" s="14" t="n"/>
      <c r="O33" s="14" t="n"/>
      <c r="P33" s="14" t="n"/>
      <c r="Q33" s="14" t="n"/>
      <c r="R33" s="14" t="n"/>
      <c r="S33" s="14" t="n"/>
      <c r="T33" s="13"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0" t="n"/>
      <c r="AX33" s="10" t="n"/>
      <c r="AY33" s="10" t="n"/>
      <c r="AZ33" s="10" t="n"/>
      <c r="BA33" s="10" t="n"/>
      <c r="BB33" s="10" t="n"/>
      <c r="BC33" s="10" t="n"/>
      <c r="BD33" s="20" t="n"/>
      <c r="BE33" s="19" t="n"/>
      <c r="BF33" s="19" t="n"/>
      <c r="BG33" s="19" t="n"/>
    </row>
    <row r="34" ht="19.5" customHeight="1">
      <c r="A34" s="23" t="n"/>
      <c r="B34" s="22" t="n"/>
      <c r="C34" s="21" t="n"/>
      <c r="D34" s="21" t="n"/>
      <c r="E34" s="14" t="n"/>
      <c r="F34" s="14" t="n"/>
      <c r="G34" s="14" t="n"/>
      <c r="H34" s="14" t="n"/>
      <c r="I34" s="14" t="n"/>
      <c r="J34" s="14" t="n"/>
      <c r="K34" s="14" t="n"/>
      <c r="L34" s="14" t="n"/>
      <c r="M34" s="14" t="n"/>
      <c r="N34" s="14" t="n"/>
      <c r="O34" s="14" t="n"/>
      <c r="P34" s="14" t="n"/>
      <c r="Q34" s="14" t="n"/>
      <c r="R34" s="14" t="n"/>
      <c r="S34" s="14" t="n"/>
      <c r="T34" s="13"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0" t="n"/>
      <c r="AX34" s="10" t="n"/>
      <c r="AY34" s="10" t="n"/>
      <c r="AZ34" s="10" t="n"/>
      <c r="BA34" s="10" t="n"/>
      <c r="BB34" s="10" t="n"/>
      <c r="BC34" s="10" t="n"/>
      <c r="BD34" s="20" t="n"/>
      <c r="BE34" s="19" t="n"/>
      <c r="BF34" s="19" t="n"/>
      <c r="BG34" s="19" t="n"/>
    </row>
    <row r="35" ht="19.5" customHeight="1">
      <c r="A35" s="23" t="n"/>
      <c r="B35" s="22" t="n"/>
      <c r="C35" s="21" t="n"/>
      <c r="D35" s="21" t="n"/>
      <c r="E35" s="14" t="n"/>
      <c r="F35" s="14" t="n"/>
      <c r="G35" s="14" t="n"/>
      <c r="H35" s="14" t="n"/>
      <c r="I35" s="14" t="n"/>
      <c r="J35" s="14" t="n"/>
      <c r="K35" s="14" t="n"/>
      <c r="L35" s="14" t="n"/>
      <c r="M35" s="14" t="n"/>
      <c r="N35" s="14" t="n"/>
      <c r="O35" s="14" t="n"/>
      <c r="P35" s="14" t="n"/>
      <c r="Q35" s="14" t="n"/>
      <c r="R35" s="14" t="n"/>
      <c r="S35" s="14" t="n"/>
      <c r="T35" s="13"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0" t="n"/>
      <c r="AX35" s="10" t="n"/>
      <c r="AY35" s="10" t="n"/>
      <c r="AZ35" s="10" t="n"/>
      <c r="BA35" s="10" t="n"/>
      <c r="BB35" s="10" t="n"/>
      <c r="BC35" s="10" t="n"/>
      <c r="BD35" s="20" t="n"/>
      <c r="BE35" s="19" t="n"/>
      <c r="BF35" s="19" t="n"/>
      <c r="BG35" s="19" t="n"/>
    </row>
    <row r="36" ht="19.5" customHeight="1">
      <c r="A36" s="23" t="n"/>
      <c r="B36" s="22" t="n"/>
      <c r="C36" s="21" t="n"/>
      <c r="D36" s="21" t="n"/>
      <c r="E36" s="14" t="n"/>
      <c r="F36" s="14" t="n"/>
      <c r="G36" s="14" t="n"/>
      <c r="H36" s="14" t="n"/>
      <c r="I36" s="14" t="n"/>
      <c r="J36" s="14" t="n"/>
      <c r="K36" s="14" t="n"/>
      <c r="L36" s="14" t="n"/>
      <c r="M36" s="14" t="n"/>
      <c r="N36" s="14" t="n"/>
      <c r="O36" s="14" t="n"/>
      <c r="P36" s="14" t="n"/>
      <c r="Q36" s="14" t="n"/>
      <c r="R36" s="14" t="n"/>
      <c r="S36" s="14" t="n"/>
      <c r="T36" s="13"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0" t="n"/>
      <c r="AX36" s="10" t="n"/>
      <c r="AY36" s="10" t="n"/>
      <c r="AZ36" s="10" t="n"/>
      <c r="BA36" s="10" t="n"/>
      <c r="BB36" s="10" t="n"/>
      <c r="BC36" s="10" t="n"/>
      <c r="BD36" s="20" t="n"/>
      <c r="BE36" s="19" t="n"/>
      <c r="BF36" s="19" t="n"/>
      <c r="BG36" s="19" t="n"/>
    </row>
    <row r="37" ht="19.5" customHeight="1">
      <c r="A37" s="23" t="n"/>
      <c r="B37" s="22" t="n"/>
      <c r="C37" s="21" t="n"/>
      <c r="D37" s="21" t="n"/>
      <c r="E37" s="14" t="n"/>
      <c r="F37" s="14" t="n"/>
      <c r="G37" s="14" t="n"/>
      <c r="H37" s="14" t="n"/>
      <c r="I37" s="14" t="n"/>
      <c r="J37" s="14" t="n"/>
      <c r="K37" s="14" t="n"/>
      <c r="L37" s="14" t="n"/>
      <c r="M37" s="14" t="n"/>
      <c r="N37" s="14" t="n"/>
      <c r="O37" s="14" t="n"/>
      <c r="P37" s="14" t="n"/>
      <c r="Q37" s="14" t="n"/>
      <c r="R37" s="14" t="n"/>
      <c r="S37" s="14" t="n"/>
      <c r="T37" s="13"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0" t="n"/>
      <c r="AX37" s="10" t="n"/>
      <c r="AY37" s="10" t="n"/>
      <c r="AZ37" s="10" t="n"/>
      <c r="BA37" s="10" t="n"/>
      <c r="BB37" s="10" t="n"/>
      <c r="BC37" s="10" t="n"/>
      <c r="BD37" s="20" t="n"/>
      <c r="BE37" s="19" t="n"/>
      <c r="BF37" s="19" t="n"/>
      <c r="BG37" s="19" t="n"/>
    </row>
    <row r="38" ht="19.5" customHeight="1">
      <c r="A38" s="23" t="n"/>
      <c r="B38" s="22" t="n"/>
      <c r="C38" s="21" t="n"/>
      <c r="D38" s="21" t="n"/>
      <c r="E38" s="14" t="n"/>
      <c r="F38" s="14" t="n"/>
      <c r="G38" s="14" t="n"/>
      <c r="H38" s="14" t="n"/>
      <c r="I38" s="14" t="n"/>
      <c r="J38" s="14" t="n"/>
      <c r="K38" s="14" t="n"/>
      <c r="L38" s="14" t="n"/>
      <c r="M38" s="14" t="n"/>
      <c r="N38" s="14" t="n"/>
      <c r="O38" s="14" t="n"/>
      <c r="P38" s="14" t="n"/>
      <c r="Q38" s="14" t="n"/>
      <c r="R38" s="14" t="n"/>
      <c r="S38" s="14" t="n"/>
      <c r="T38" s="13"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0" t="n"/>
      <c r="AX38" s="10" t="n"/>
      <c r="AY38" s="10" t="n"/>
      <c r="AZ38" s="10" t="n"/>
      <c r="BA38" s="10" t="n"/>
      <c r="BB38" s="10" t="n"/>
      <c r="BC38" s="10" t="n"/>
      <c r="BD38" s="20" t="n"/>
      <c r="BE38" s="19" t="n"/>
      <c r="BF38" s="19" t="n"/>
      <c r="BG38" s="19" t="n"/>
    </row>
    <row r="39" ht="19.5" customHeight="1">
      <c r="A39" s="23" t="n"/>
      <c r="B39" s="22" t="n"/>
      <c r="C39" s="21" t="n"/>
      <c r="D39" s="21" t="n"/>
      <c r="E39" s="14" t="n"/>
      <c r="F39" s="14" t="n"/>
      <c r="G39" s="14" t="n"/>
      <c r="H39" s="14" t="n"/>
      <c r="I39" s="14" t="n"/>
      <c r="J39" s="14" t="n"/>
      <c r="K39" s="14" t="n"/>
      <c r="L39" s="14" t="n"/>
      <c r="M39" s="14" t="n"/>
      <c r="N39" s="14" t="n"/>
      <c r="O39" s="14" t="n"/>
      <c r="P39" s="14" t="n"/>
      <c r="Q39" s="14" t="n"/>
      <c r="R39" s="14" t="n"/>
      <c r="S39" s="14" t="n"/>
      <c r="T39" s="13"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0" t="n"/>
      <c r="AX39" s="10" t="n"/>
      <c r="AY39" s="10" t="n"/>
      <c r="AZ39" s="10" t="n"/>
      <c r="BA39" s="10" t="n"/>
      <c r="BB39" s="10" t="n"/>
      <c r="BC39" s="10" t="n"/>
      <c r="BD39" s="20" t="n"/>
      <c r="BE39" s="19" t="n"/>
      <c r="BF39" s="19" t="n"/>
      <c r="BG39" s="19" t="n"/>
    </row>
    <row r="40" ht="19.5" customHeight="1">
      <c r="A40" s="23" t="n"/>
      <c r="B40" s="22" t="n"/>
      <c r="C40" s="21" t="n"/>
      <c r="D40" s="21" t="n"/>
      <c r="E40" s="14" t="n"/>
      <c r="F40" s="14" t="n"/>
      <c r="G40" s="14" t="n"/>
      <c r="H40" s="14" t="n"/>
      <c r="I40" s="14" t="n"/>
      <c r="J40" s="14" t="n"/>
      <c r="K40" s="14" t="n"/>
      <c r="L40" s="14" t="n"/>
      <c r="M40" s="14" t="n"/>
      <c r="N40" s="14" t="n"/>
      <c r="O40" s="14" t="n"/>
      <c r="P40" s="14" t="n"/>
      <c r="Q40" s="14" t="n"/>
      <c r="R40" s="14" t="n"/>
      <c r="S40" s="14" t="n"/>
      <c r="T40" s="13"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0" t="n"/>
      <c r="AX40" s="10" t="n"/>
      <c r="AY40" s="10" t="n"/>
      <c r="AZ40" s="10" t="n"/>
      <c r="BA40" s="10" t="n"/>
      <c r="BB40" s="10" t="n"/>
      <c r="BC40" s="10" t="n"/>
      <c r="BD40" s="20" t="n"/>
      <c r="BE40" s="19" t="n"/>
      <c r="BF40" s="19" t="n"/>
      <c r="BG40" s="19" t="n"/>
    </row>
    <row r="41" ht="19.5" customHeight="1">
      <c r="A41" s="23" t="n"/>
      <c r="B41" s="22" t="n"/>
      <c r="C41" s="21" t="n"/>
      <c r="D41" s="21" t="n"/>
      <c r="E41" s="14" t="n"/>
      <c r="F41" s="14" t="n"/>
      <c r="G41" s="14" t="n"/>
      <c r="H41" s="14" t="n"/>
      <c r="I41" s="14" t="n"/>
      <c r="J41" s="14" t="n"/>
      <c r="K41" s="14" t="n"/>
      <c r="L41" s="14" t="n"/>
      <c r="M41" s="14" t="n"/>
      <c r="N41" s="14" t="n"/>
      <c r="O41" s="14" t="n"/>
      <c r="P41" s="14" t="n"/>
      <c r="Q41" s="14" t="n"/>
      <c r="R41" s="14" t="n"/>
      <c r="S41" s="14" t="n"/>
      <c r="T41" s="13"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0" t="n"/>
      <c r="AX41" s="10" t="n"/>
      <c r="AY41" s="10" t="n"/>
      <c r="AZ41" s="10" t="n"/>
      <c r="BA41" s="10" t="n"/>
      <c r="BB41" s="10" t="n"/>
      <c r="BC41" s="10" t="n"/>
      <c r="BD41" s="20" t="n"/>
      <c r="BE41" s="19" t="n"/>
      <c r="BF41" s="19" t="n"/>
      <c r="BG41" s="19" t="n"/>
    </row>
    <row r="42" ht="19.5" customHeight="1">
      <c r="A42" s="23" t="n"/>
      <c r="B42" s="22" t="n"/>
      <c r="C42" s="21" t="n"/>
      <c r="D42" s="21" t="n"/>
      <c r="E42" s="14" t="n"/>
      <c r="F42" s="14" t="n"/>
      <c r="G42" s="14" t="n"/>
      <c r="H42" s="14" t="n"/>
      <c r="I42" s="14" t="n"/>
      <c r="J42" s="14" t="n"/>
      <c r="K42" s="14" t="n"/>
      <c r="L42" s="14" t="n"/>
      <c r="M42" s="14" t="n"/>
      <c r="N42" s="14" t="n"/>
      <c r="O42" s="14" t="n"/>
      <c r="P42" s="14" t="n"/>
      <c r="Q42" s="14" t="n"/>
      <c r="R42" s="14" t="n"/>
      <c r="S42" s="14" t="n"/>
      <c r="T42" s="13"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0" t="n"/>
      <c r="AX42" s="10" t="n"/>
      <c r="AY42" s="10" t="n"/>
      <c r="AZ42" s="10" t="n"/>
      <c r="BA42" s="10" t="n"/>
      <c r="BB42" s="10" t="n"/>
      <c r="BC42" s="10" t="n"/>
      <c r="BD42" s="20" t="n"/>
      <c r="BE42" s="19" t="n"/>
      <c r="BF42" s="19" t="n"/>
      <c r="BG42" s="19" t="n"/>
    </row>
    <row r="43" ht="19.5" customHeight="1">
      <c r="A43" s="23" t="n"/>
      <c r="B43" s="22" t="n"/>
      <c r="C43" s="21" t="n"/>
      <c r="D43" s="21" t="n"/>
      <c r="E43" s="14" t="n"/>
      <c r="F43" s="14" t="n"/>
      <c r="G43" s="14" t="n"/>
      <c r="H43" s="14" t="n"/>
      <c r="I43" s="14" t="n"/>
      <c r="J43" s="14" t="n"/>
      <c r="K43" s="14" t="n"/>
      <c r="L43" s="14" t="n"/>
      <c r="M43" s="14" t="n"/>
      <c r="N43" s="14" t="n"/>
      <c r="O43" s="14" t="n"/>
      <c r="P43" s="14" t="n"/>
      <c r="Q43" s="14" t="n"/>
      <c r="R43" s="14" t="n"/>
      <c r="S43" s="14" t="n"/>
      <c r="T43" s="13"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0" t="n"/>
      <c r="AX43" s="10" t="n"/>
      <c r="AY43" s="10" t="n"/>
      <c r="AZ43" s="10" t="n"/>
      <c r="BA43" s="10" t="n"/>
      <c r="BB43" s="10" t="n"/>
      <c r="BC43" s="10" t="n"/>
      <c r="BD43" s="20" t="n"/>
      <c r="BE43" s="19" t="n"/>
      <c r="BF43" s="19" t="n"/>
      <c r="BG43" s="19" t="n"/>
    </row>
    <row r="44" ht="19.5" customHeight="1">
      <c r="A44" s="23" t="n"/>
      <c r="B44" s="22" t="n"/>
      <c r="C44" s="21" t="n"/>
      <c r="D44" s="21" t="n"/>
      <c r="E44" s="14" t="n"/>
      <c r="F44" s="14" t="n"/>
      <c r="G44" s="14" t="n"/>
      <c r="H44" s="14" t="n"/>
      <c r="I44" s="14" t="n"/>
      <c r="J44" s="14" t="n"/>
      <c r="K44" s="14" t="n"/>
      <c r="L44" s="14" t="n"/>
      <c r="M44" s="14" t="n"/>
      <c r="N44" s="14" t="n"/>
      <c r="O44" s="14" t="n"/>
      <c r="P44" s="14" t="n"/>
      <c r="Q44" s="14" t="n"/>
      <c r="R44" s="14" t="n"/>
      <c r="S44" s="14" t="n"/>
      <c r="T44" s="13"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0" t="n"/>
      <c r="AX44" s="10" t="n"/>
      <c r="AY44" s="10" t="n"/>
      <c r="AZ44" s="10" t="n"/>
      <c r="BA44" s="10" t="n"/>
      <c r="BB44" s="10" t="n"/>
      <c r="BC44" s="10" t="n"/>
      <c r="BD44" s="20" t="n"/>
      <c r="BE44" s="19" t="n"/>
      <c r="BF44" s="19" t="n"/>
      <c r="BG44" s="19" t="n"/>
    </row>
    <row r="45" ht="19.5" customHeight="1">
      <c r="A45" s="23" t="n"/>
      <c r="B45" s="22" t="n"/>
      <c r="C45" s="21" t="n"/>
      <c r="D45" s="21" t="n"/>
      <c r="E45" s="14" t="n"/>
      <c r="F45" s="14" t="n"/>
      <c r="G45" s="14" t="n"/>
      <c r="H45" s="14" t="n"/>
      <c r="I45" s="14" t="n"/>
      <c r="J45" s="14" t="n"/>
      <c r="K45" s="14" t="n"/>
      <c r="L45" s="14" t="n"/>
      <c r="M45" s="14" t="n"/>
      <c r="N45" s="14" t="n"/>
      <c r="O45" s="14" t="n"/>
      <c r="P45" s="14" t="n"/>
      <c r="Q45" s="14" t="n"/>
      <c r="R45" s="14" t="n"/>
      <c r="S45" s="14" t="n"/>
      <c r="T45" s="13"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0" t="n"/>
      <c r="AX45" s="10" t="n"/>
      <c r="AY45" s="10" t="n"/>
      <c r="AZ45" s="10" t="n"/>
      <c r="BA45" s="10" t="n"/>
      <c r="BB45" s="10" t="n"/>
      <c r="BC45" s="10" t="n"/>
      <c r="BD45" s="20" t="n"/>
      <c r="BE45" s="19" t="n"/>
      <c r="BF45" s="19" t="n"/>
      <c r="BG45" s="19" t="n"/>
    </row>
    <row r="46" ht="19.5" customHeight="1">
      <c r="A46" s="23" t="n"/>
      <c r="B46" s="22" t="n"/>
      <c r="C46" s="21" t="n"/>
      <c r="D46" s="21" t="n"/>
      <c r="E46" s="14" t="n"/>
      <c r="F46" s="14" t="n"/>
      <c r="G46" s="14" t="n"/>
      <c r="H46" s="14" t="n"/>
      <c r="I46" s="14" t="n"/>
      <c r="J46" s="14" t="n"/>
      <c r="K46" s="14" t="n"/>
      <c r="L46" s="14" t="n"/>
      <c r="M46" s="14" t="n"/>
      <c r="N46" s="14" t="n"/>
      <c r="O46" s="14" t="n"/>
      <c r="P46" s="14" t="n"/>
      <c r="Q46" s="14" t="n"/>
      <c r="R46" s="14" t="n"/>
      <c r="S46" s="14" t="n"/>
      <c r="T46" s="13"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0" t="n"/>
      <c r="AX46" s="10" t="n"/>
      <c r="AY46" s="10" t="n"/>
      <c r="AZ46" s="10" t="n"/>
      <c r="BA46" s="10" t="n"/>
      <c r="BB46" s="10" t="n"/>
      <c r="BC46" s="10" t="n"/>
      <c r="BD46" s="20" t="n"/>
      <c r="BE46" s="19" t="n"/>
      <c r="BF46" s="19" t="n"/>
      <c r="BG46" s="19" t="n"/>
    </row>
    <row r="47" ht="19.5" customHeight="1">
      <c r="A47" s="23" t="n"/>
      <c r="B47" s="22" t="n"/>
      <c r="C47" s="21" t="n"/>
      <c r="D47" s="21" t="n"/>
      <c r="E47" s="14" t="n"/>
      <c r="F47" s="14" t="n"/>
      <c r="G47" s="14" t="n"/>
      <c r="H47" s="14" t="n"/>
      <c r="I47" s="14" t="n"/>
      <c r="J47" s="14" t="n"/>
      <c r="K47" s="14" t="n"/>
      <c r="L47" s="14" t="n"/>
      <c r="M47" s="14" t="n"/>
      <c r="N47" s="14" t="n"/>
      <c r="O47" s="14" t="n"/>
      <c r="P47" s="14" t="n"/>
      <c r="Q47" s="14" t="n"/>
      <c r="R47" s="14" t="n"/>
      <c r="S47" s="14" t="n"/>
      <c r="T47" s="13"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0" t="n"/>
      <c r="AX47" s="10" t="n"/>
      <c r="AY47" s="10" t="n"/>
      <c r="AZ47" s="10" t="n"/>
      <c r="BA47" s="10" t="n"/>
      <c r="BB47" s="10" t="n"/>
      <c r="BC47" s="10" t="n"/>
      <c r="BD47" s="20" t="n"/>
      <c r="BE47" s="19" t="n"/>
      <c r="BF47" s="19" t="n"/>
      <c r="BG47" s="19" t="n"/>
    </row>
    <row r="48" ht="19.5" customHeight="1">
      <c r="A48" s="23" t="n"/>
      <c r="B48" s="22" t="n"/>
      <c r="C48" s="21" t="n"/>
      <c r="D48" s="21" t="n"/>
      <c r="E48" s="14" t="n"/>
      <c r="F48" s="14" t="n"/>
      <c r="G48" s="14" t="n"/>
      <c r="H48" s="14" t="n"/>
      <c r="I48" s="14" t="n"/>
      <c r="J48" s="14" t="n"/>
      <c r="K48" s="14" t="n"/>
      <c r="L48" s="14" t="n"/>
      <c r="M48" s="14" t="n"/>
      <c r="N48" s="14" t="n"/>
      <c r="O48" s="14" t="n"/>
      <c r="P48" s="14" t="n"/>
      <c r="Q48" s="14" t="n"/>
      <c r="R48" s="14" t="n"/>
      <c r="S48" s="14" t="n"/>
      <c r="T48" s="13"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0" t="n"/>
      <c r="AX48" s="10" t="n"/>
      <c r="AY48" s="10" t="n"/>
      <c r="AZ48" s="10" t="n"/>
      <c r="BA48" s="10" t="n"/>
      <c r="BB48" s="10" t="n"/>
      <c r="BC48" s="10" t="n"/>
      <c r="BD48" s="20" t="n"/>
      <c r="BE48" s="19" t="n"/>
      <c r="BF48" s="19" t="n"/>
      <c r="BG48" s="19" t="n"/>
    </row>
    <row r="49" ht="19.5" customHeight="1">
      <c r="A49" s="23" t="n"/>
      <c r="B49" s="22" t="n"/>
      <c r="C49" s="21" t="n"/>
      <c r="D49" s="21" t="n"/>
      <c r="E49" s="14" t="n"/>
      <c r="F49" s="14" t="n"/>
      <c r="G49" s="14" t="n"/>
      <c r="H49" s="14" t="n"/>
      <c r="I49" s="14" t="n"/>
      <c r="J49" s="14" t="n"/>
      <c r="K49" s="14" t="n"/>
      <c r="L49" s="14" t="n"/>
      <c r="M49" s="14" t="n"/>
      <c r="N49" s="14" t="n"/>
      <c r="O49" s="14" t="n"/>
      <c r="P49" s="14" t="n"/>
      <c r="Q49" s="14" t="n"/>
      <c r="R49" s="14" t="n"/>
      <c r="S49" s="14" t="n"/>
      <c r="T49" s="13"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0" t="n"/>
      <c r="AX49" s="10" t="n"/>
      <c r="AY49" s="10" t="n"/>
      <c r="AZ49" s="10" t="n"/>
      <c r="BA49" s="10" t="n"/>
      <c r="BB49" s="10" t="n"/>
      <c r="BC49" s="10" t="n"/>
      <c r="BD49" s="20" t="n"/>
      <c r="BE49" s="19" t="n"/>
      <c r="BF49" s="19" t="n"/>
      <c r="BG49" s="19" t="n"/>
    </row>
    <row r="50" ht="19.5" customHeight="1">
      <c r="A50" s="23" t="n"/>
      <c r="B50" s="22" t="n"/>
      <c r="C50" s="21" t="n"/>
      <c r="D50" s="21" t="n"/>
      <c r="E50" s="14" t="n"/>
      <c r="F50" s="14" t="n"/>
      <c r="G50" s="14" t="n"/>
      <c r="H50" s="14" t="n"/>
      <c r="I50" s="14" t="n"/>
      <c r="J50" s="14" t="n"/>
      <c r="K50" s="14" t="n"/>
      <c r="L50" s="14" t="n"/>
      <c r="M50" s="14" t="n"/>
      <c r="N50" s="14" t="n"/>
      <c r="O50" s="14" t="n"/>
      <c r="P50" s="14" t="n"/>
      <c r="Q50" s="14" t="n"/>
      <c r="R50" s="14" t="n"/>
      <c r="S50" s="14" t="n"/>
      <c r="T50" s="13"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0" t="n"/>
      <c r="AX50" s="10" t="n"/>
      <c r="AY50" s="10" t="n"/>
      <c r="AZ50" s="10" t="n"/>
      <c r="BA50" s="10" t="n"/>
      <c r="BB50" s="10" t="n"/>
      <c r="BC50" s="10" t="n"/>
      <c r="BD50" s="20" t="n"/>
      <c r="BE50" s="19" t="n"/>
      <c r="BF50" s="19" t="n"/>
      <c r="BG50" s="19" t="n"/>
    </row>
    <row r="51" ht="19.5" customHeight="1">
      <c r="A51" s="23" t="n"/>
      <c r="B51" s="22" t="n"/>
      <c r="C51" s="21" t="n"/>
      <c r="D51" s="21" t="n"/>
      <c r="E51" s="14" t="n"/>
      <c r="F51" s="14" t="n"/>
      <c r="G51" s="14" t="n"/>
      <c r="H51" s="14" t="n"/>
      <c r="I51" s="14" t="n"/>
      <c r="J51" s="14" t="n"/>
      <c r="K51" s="14" t="n"/>
      <c r="L51" s="14" t="n"/>
      <c r="M51" s="14" t="n"/>
      <c r="N51" s="14" t="n"/>
      <c r="O51" s="14" t="n"/>
      <c r="P51" s="14" t="n"/>
      <c r="Q51" s="14" t="n"/>
      <c r="R51" s="14" t="n"/>
      <c r="S51" s="14" t="n"/>
      <c r="T51" s="13"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0" t="n"/>
      <c r="AX51" s="10" t="n"/>
      <c r="AY51" s="10" t="n"/>
      <c r="AZ51" s="10" t="n"/>
      <c r="BA51" s="10" t="n"/>
      <c r="BB51" s="10" t="n"/>
      <c r="BC51" s="10" t="n"/>
      <c r="BD51" s="20" t="n"/>
      <c r="BE51" s="19" t="n"/>
      <c r="BF51" s="19" t="n"/>
      <c r="BG51" s="19" t="n"/>
    </row>
    <row r="52" ht="19.5" customHeight="1">
      <c r="A52" s="23" t="n"/>
      <c r="B52" s="22" t="n"/>
      <c r="C52" s="21" t="n"/>
      <c r="D52" s="21" t="n"/>
      <c r="E52" s="14" t="n"/>
      <c r="F52" s="14" t="n"/>
      <c r="G52" s="14" t="n"/>
      <c r="H52" s="14" t="n"/>
      <c r="I52" s="14" t="n"/>
      <c r="J52" s="14" t="n"/>
      <c r="K52" s="14" t="n"/>
      <c r="L52" s="14" t="n"/>
      <c r="M52" s="14" t="n"/>
      <c r="N52" s="14" t="n"/>
      <c r="O52" s="14" t="n"/>
      <c r="P52" s="14" t="n"/>
      <c r="Q52" s="14" t="n"/>
      <c r="R52" s="14" t="n"/>
      <c r="S52" s="14" t="n"/>
      <c r="T52" s="13"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0" t="n"/>
      <c r="AX52" s="10" t="n"/>
      <c r="AY52" s="10" t="n"/>
      <c r="AZ52" s="10" t="n"/>
      <c r="BA52" s="10" t="n"/>
      <c r="BB52" s="10" t="n"/>
      <c r="BC52" s="10" t="n"/>
      <c r="BD52" s="20" t="n"/>
      <c r="BE52" s="19" t="n"/>
      <c r="BF52" s="19" t="n"/>
      <c r="BG52" s="19" t="n"/>
    </row>
    <row r="53" ht="19.5" customHeight="1">
      <c r="A53" s="23" t="n"/>
      <c r="B53" s="22" t="n"/>
      <c r="C53" s="21" t="n"/>
      <c r="D53" s="21" t="n"/>
      <c r="E53" s="14" t="n"/>
      <c r="F53" s="14" t="n"/>
      <c r="G53" s="14" t="n"/>
      <c r="H53" s="14" t="n"/>
      <c r="I53" s="14" t="n"/>
      <c r="J53" s="14" t="n"/>
      <c r="K53" s="14" t="n"/>
      <c r="L53" s="14" t="n"/>
      <c r="M53" s="14" t="n"/>
      <c r="N53" s="14" t="n"/>
      <c r="O53" s="14" t="n"/>
      <c r="P53" s="14" t="n"/>
      <c r="Q53" s="14" t="n"/>
      <c r="R53" s="14" t="n"/>
      <c r="S53" s="14" t="n"/>
      <c r="T53" s="13"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0" t="n"/>
      <c r="AX53" s="10" t="n"/>
      <c r="AY53" s="10" t="n"/>
      <c r="AZ53" s="10" t="n"/>
      <c r="BA53" s="10" t="n"/>
      <c r="BB53" s="10" t="n"/>
      <c r="BC53" s="10" t="n"/>
      <c r="BD53" s="20" t="n"/>
      <c r="BE53" s="19" t="n"/>
      <c r="BF53" s="19" t="n"/>
      <c r="BG53" s="19" t="n"/>
    </row>
    <row r="54" ht="19.5" customHeight="1">
      <c r="A54" s="23" t="n"/>
      <c r="B54" s="22" t="n"/>
      <c r="C54" s="21" t="n"/>
      <c r="D54" s="21" t="n"/>
      <c r="E54" s="14" t="n"/>
      <c r="F54" s="14" t="n"/>
      <c r="G54" s="14" t="n"/>
      <c r="H54" s="14" t="n"/>
      <c r="I54" s="14" t="n"/>
      <c r="J54" s="14" t="n"/>
      <c r="K54" s="14" t="n"/>
      <c r="L54" s="14" t="n"/>
      <c r="M54" s="14" t="n"/>
      <c r="N54" s="14" t="n"/>
      <c r="O54" s="14" t="n"/>
      <c r="P54" s="14" t="n"/>
      <c r="Q54" s="14" t="n"/>
      <c r="R54" s="14" t="n"/>
      <c r="S54" s="14" t="n"/>
      <c r="T54" s="13"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0" t="n"/>
      <c r="AX54" s="10" t="n"/>
      <c r="AY54" s="10" t="n"/>
      <c r="AZ54" s="10" t="n"/>
      <c r="BA54" s="10" t="n"/>
      <c r="BB54" s="10" t="n"/>
      <c r="BC54" s="10" t="n"/>
      <c r="BD54" s="20" t="n"/>
      <c r="BE54" s="19" t="n"/>
      <c r="BF54" s="19" t="n"/>
      <c r="BG54" s="19" t="n"/>
    </row>
    <row r="55" ht="19.5" customHeight="1">
      <c r="A55" s="23" t="n"/>
      <c r="B55" s="22" t="n"/>
      <c r="C55" s="21" t="n"/>
      <c r="D55" s="21" t="n"/>
      <c r="E55" s="14" t="n"/>
      <c r="F55" s="14" t="n"/>
      <c r="G55" s="14" t="n"/>
      <c r="H55" s="14" t="n"/>
      <c r="I55" s="14" t="n"/>
      <c r="J55" s="14" t="n"/>
      <c r="K55" s="14" t="n"/>
      <c r="L55" s="14" t="n"/>
      <c r="M55" s="14" t="n"/>
      <c r="N55" s="14" t="n"/>
      <c r="O55" s="14" t="n"/>
      <c r="P55" s="14" t="n"/>
      <c r="Q55" s="14" t="n"/>
      <c r="R55" s="14" t="n"/>
      <c r="S55" s="14" t="n"/>
      <c r="T55" s="13"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0" t="n"/>
      <c r="AX55" s="10" t="n"/>
      <c r="AY55" s="10" t="n"/>
      <c r="AZ55" s="10" t="n"/>
      <c r="BA55" s="10" t="n"/>
      <c r="BB55" s="10" t="n"/>
      <c r="BC55" s="10" t="n"/>
      <c r="BD55" s="20" t="n"/>
      <c r="BE55" s="19" t="n"/>
      <c r="BF55" s="19" t="n"/>
      <c r="BG55" s="19" t="n"/>
    </row>
    <row r="56" ht="19.5" customHeight="1">
      <c r="A56" s="23" t="n"/>
      <c r="B56" s="22" t="n"/>
      <c r="C56" s="21" t="n"/>
      <c r="D56" s="21" t="n"/>
      <c r="E56" s="14" t="n"/>
      <c r="F56" s="14" t="n"/>
      <c r="G56" s="14" t="n"/>
      <c r="H56" s="14" t="n"/>
      <c r="I56" s="14" t="n"/>
      <c r="J56" s="14" t="n"/>
      <c r="K56" s="14" t="n"/>
      <c r="L56" s="14" t="n"/>
      <c r="M56" s="14" t="n"/>
      <c r="N56" s="14" t="n"/>
      <c r="O56" s="14" t="n"/>
      <c r="P56" s="14" t="n"/>
      <c r="Q56" s="14" t="n"/>
      <c r="R56" s="14" t="n"/>
      <c r="S56" s="14" t="n"/>
      <c r="T56" s="13"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0" t="n"/>
      <c r="AX56" s="10" t="n"/>
      <c r="AY56" s="10" t="n"/>
      <c r="AZ56" s="10" t="n"/>
      <c r="BA56" s="10" t="n"/>
      <c r="BB56" s="10" t="n"/>
      <c r="BC56" s="10" t="n"/>
      <c r="BD56" s="20" t="n"/>
      <c r="BE56" s="19" t="n"/>
      <c r="BF56" s="19" t="n"/>
      <c r="BG56" s="19" t="n"/>
    </row>
    <row r="57" ht="19.5" customHeight="1">
      <c r="A57" s="23" t="n"/>
      <c r="B57" s="22" t="n"/>
      <c r="C57" s="21" t="n"/>
      <c r="D57" s="21" t="n"/>
      <c r="E57" s="14" t="n"/>
      <c r="F57" s="14" t="n"/>
      <c r="G57" s="14" t="n"/>
      <c r="H57" s="14" t="n"/>
      <c r="I57" s="14" t="n"/>
      <c r="J57" s="14" t="n"/>
      <c r="K57" s="14" t="n"/>
      <c r="L57" s="14" t="n"/>
      <c r="M57" s="14" t="n"/>
      <c r="N57" s="14" t="n"/>
      <c r="O57" s="14" t="n"/>
      <c r="P57" s="14" t="n"/>
      <c r="Q57" s="14" t="n"/>
      <c r="R57" s="14" t="n"/>
      <c r="S57" s="14" t="n"/>
      <c r="T57" s="13"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0" t="n"/>
      <c r="AX57" s="10" t="n"/>
      <c r="AY57" s="10" t="n"/>
      <c r="AZ57" s="10" t="n"/>
      <c r="BA57" s="10" t="n"/>
      <c r="BB57" s="10" t="n"/>
      <c r="BC57" s="10" t="n"/>
      <c r="BD57" s="20" t="n"/>
      <c r="BE57" s="19" t="n"/>
      <c r="BF57" s="19" t="n"/>
      <c r="BG57" s="19" t="n"/>
    </row>
    <row r="58" ht="19.5" customHeight="1">
      <c r="A58" s="23" t="n"/>
      <c r="B58" s="22" t="n"/>
      <c r="C58" s="21" t="n"/>
      <c r="D58" s="21" t="n"/>
      <c r="E58" s="14" t="n"/>
      <c r="F58" s="14" t="n"/>
      <c r="G58" s="14" t="n"/>
      <c r="H58" s="14" t="n"/>
      <c r="I58" s="14" t="n"/>
      <c r="J58" s="14" t="n"/>
      <c r="K58" s="14" t="n"/>
      <c r="L58" s="14" t="n"/>
      <c r="M58" s="14" t="n"/>
      <c r="N58" s="14" t="n"/>
      <c r="O58" s="14" t="n"/>
      <c r="P58" s="14" t="n"/>
      <c r="Q58" s="14" t="n"/>
      <c r="R58" s="14" t="n"/>
      <c r="S58" s="14" t="n"/>
      <c r="T58" s="13"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0" t="n"/>
      <c r="AX58" s="10" t="n"/>
      <c r="AY58" s="10" t="n"/>
      <c r="AZ58" s="10" t="n"/>
      <c r="BA58" s="10" t="n"/>
      <c r="BB58" s="10" t="n"/>
      <c r="BC58" s="10" t="n"/>
      <c r="BD58" s="20" t="n"/>
      <c r="BE58" s="19" t="n"/>
      <c r="BF58" s="19" t="n"/>
      <c r="BG58" s="19" t="n"/>
    </row>
    <row r="59" ht="19.5" customHeight="1">
      <c r="A59" s="23" t="n"/>
      <c r="B59" s="22" t="n"/>
      <c r="C59" s="21" t="n"/>
      <c r="D59" s="21" t="n"/>
      <c r="E59" s="14" t="n"/>
      <c r="F59" s="14" t="n"/>
      <c r="G59" s="14" t="n"/>
      <c r="H59" s="14" t="n"/>
      <c r="I59" s="14" t="n"/>
      <c r="J59" s="14" t="n"/>
      <c r="K59" s="14" t="n"/>
      <c r="L59" s="14" t="n"/>
      <c r="M59" s="14" t="n"/>
      <c r="N59" s="14" t="n"/>
      <c r="O59" s="14" t="n"/>
      <c r="P59" s="14" t="n"/>
      <c r="Q59" s="14" t="n"/>
      <c r="R59" s="14" t="n"/>
      <c r="S59" s="14" t="n"/>
      <c r="T59" s="13"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0" t="n"/>
      <c r="AX59" s="10" t="n"/>
      <c r="AY59" s="10" t="n"/>
      <c r="AZ59" s="10" t="n"/>
      <c r="BA59" s="10" t="n"/>
      <c r="BB59" s="10" t="n"/>
      <c r="BC59" s="10" t="n"/>
      <c r="BD59" s="20" t="n"/>
      <c r="BE59" s="19" t="n"/>
      <c r="BF59" s="19" t="n"/>
      <c r="BG59" s="19" t="n"/>
    </row>
    <row r="60" ht="19.5" customHeight="1">
      <c r="A60" s="23" t="n"/>
      <c r="B60" s="22" t="n"/>
      <c r="C60" s="21" t="n"/>
      <c r="D60" s="21" t="n"/>
      <c r="E60" s="14" t="n"/>
      <c r="F60" s="14" t="n"/>
      <c r="G60" s="14" t="n"/>
      <c r="H60" s="14" t="n"/>
      <c r="I60" s="14" t="n"/>
      <c r="J60" s="14" t="n"/>
      <c r="K60" s="14" t="n"/>
      <c r="L60" s="14" t="n"/>
      <c r="M60" s="14" t="n"/>
      <c r="N60" s="14" t="n"/>
      <c r="O60" s="14" t="n"/>
      <c r="P60" s="14" t="n"/>
      <c r="Q60" s="14" t="n"/>
      <c r="R60" s="14" t="n"/>
      <c r="S60" s="14" t="n"/>
      <c r="T60" s="13"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0" t="n"/>
      <c r="AX60" s="10" t="n"/>
      <c r="AY60" s="10" t="n"/>
      <c r="AZ60" s="10" t="n"/>
      <c r="BA60" s="10" t="n"/>
      <c r="BB60" s="10" t="n"/>
      <c r="BC60" s="10" t="n"/>
      <c r="BD60" s="20" t="n"/>
      <c r="BE60" s="19" t="n"/>
      <c r="BF60" s="19" t="n"/>
      <c r="BG60" s="19" t="n"/>
    </row>
    <row r="61" ht="19.5" customHeight="1">
      <c r="A61" s="23" t="n"/>
      <c r="B61" s="22" t="n"/>
      <c r="C61" s="21" t="n"/>
      <c r="D61" s="21" t="n"/>
      <c r="E61" s="14" t="n"/>
      <c r="F61" s="14" t="n"/>
      <c r="G61" s="14" t="n"/>
      <c r="H61" s="14" t="n"/>
      <c r="I61" s="14" t="n"/>
      <c r="J61" s="14" t="n"/>
      <c r="K61" s="14" t="n"/>
      <c r="L61" s="14" t="n"/>
      <c r="M61" s="14" t="n"/>
      <c r="N61" s="14" t="n"/>
      <c r="O61" s="14" t="n"/>
      <c r="P61" s="14" t="n"/>
      <c r="Q61" s="14" t="n"/>
      <c r="R61" s="14" t="n"/>
      <c r="S61" s="14" t="n"/>
      <c r="T61" s="13"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0" t="n"/>
      <c r="AX61" s="10" t="n"/>
      <c r="AY61" s="10" t="n"/>
      <c r="AZ61" s="10" t="n"/>
      <c r="BA61" s="10" t="n"/>
      <c r="BB61" s="10" t="n"/>
      <c r="BC61" s="10" t="n"/>
      <c r="BD61" s="20" t="n"/>
      <c r="BE61" s="19" t="n"/>
      <c r="BF61" s="19" t="n"/>
      <c r="BG61" s="19" t="n"/>
    </row>
    <row r="62" ht="19.5" customHeight="1">
      <c r="A62" s="23" t="n"/>
      <c r="B62" s="22" t="n"/>
      <c r="C62" s="21" t="n"/>
      <c r="D62" s="21" t="n"/>
      <c r="E62" s="14" t="n"/>
      <c r="F62" s="14" t="n"/>
      <c r="G62" s="14" t="n"/>
      <c r="H62" s="14" t="n"/>
      <c r="I62" s="14" t="n"/>
      <c r="J62" s="14" t="n"/>
      <c r="K62" s="14" t="n"/>
      <c r="L62" s="14" t="n"/>
      <c r="M62" s="14" t="n"/>
      <c r="N62" s="14" t="n"/>
      <c r="O62" s="14" t="n"/>
      <c r="P62" s="14" t="n"/>
      <c r="Q62" s="14" t="n"/>
      <c r="R62" s="14" t="n"/>
      <c r="S62" s="14" t="n"/>
      <c r="T62" s="13"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0" t="n"/>
      <c r="AX62" s="10" t="n"/>
      <c r="AY62" s="10" t="n"/>
      <c r="AZ62" s="10" t="n"/>
      <c r="BA62" s="10" t="n"/>
      <c r="BB62" s="10" t="n"/>
      <c r="BC62" s="10" t="n"/>
      <c r="BD62" s="20" t="n"/>
      <c r="BE62" s="19" t="n"/>
      <c r="BF62" s="19" t="n"/>
      <c r="BG62" s="19" t="n"/>
    </row>
    <row r="63" ht="19.5" customHeight="1">
      <c r="A63" s="23" t="n"/>
      <c r="B63" s="22" t="n"/>
      <c r="C63" s="21" t="n"/>
      <c r="D63" s="21" t="n"/>
      <c r="E63" s="14" t="n"/>
      <c r="F63" s="14" t="n"/>
      <c r="G63" s="14" t="n"/>
      <c r="H63" s="14" t="n"/>
      <c r="I63" s="14" t="n"/>
      <c r="J63" s="14" t="n"/>
      <c r="K63" s="14" t="n"/>
      <c r="L63" s="14" t="n"/>
      <c r="M63" s="14" t="n"/>
      <c r="N63" s="14" t="n"/>
      <c r="O63" s="14" t="n"/>
      <c r="P63" s="14" t="n"/>
      <c r="Q63" s="14" t="n"/>
      <c r="R63" s="14" t="n"/>
      <c r="S63" s="14" t="n"/>
      <c r="T63" s="13"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0" t="n"/>
      <c r="AX63" s="10" t="n"/>
      <c r="AY63" s="10" t="n"/>
      <c r="AZ63" s="10" t="n"/>
      <c r="BA63" s="10" t="n"/>
      <c r="BB63" s="10" t="n"/>
      <c r="BC63" s="10" t="n"/>
      <c r="BD63" s="20" t="n"/>
      <c r="BE63" s="19" t="n"/>
      <c r="BF63" s="19" t="n"/>
      <c r="BG63" s="19" t="n"/>
    </row>
    <row r="64" ht="19.5" customHeight="1">
      <c r="A64" s="23" t="n"/>
      <c r="B64" s="22" t="n"/>
      <c r="C64" s="21" t="n"/>
      <c r="D64" s="21" t="n"/>
      <c r="E64" s="14" t="n"/>
      <c r="F64" s="14" t="n"/>
      <c r="G64" s="14" t="n"/>
      <c r="H64" s="14" t="n"/>
      <c r="I64" s="14" t="n"/>
      <c r="J64" s="14" t="n"/>
      <c r="K64" s="14" t="n"/>
      <c r="L64" s="14" t="n"/>
      <c r="M64" s="14" t="n"/>
      <c r="N64" s="14" t="n"/>
      <c r="O64" s="14" t="n"/>
      <c r="P64" s="14" t="n"/>
      <c r="Q64" s="14" t="n"/>
      <c r="R64" s="14" t="n"/>
      <c r="S64" s="14" t="n"/>
      <c r="T64" s="13"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0" t="n"/>
      <c r="AX64" s="10" t="n"/>
      <c r="AY64" s="10" t="n"/>
      <c r="AZ64" s="10" t="n"/>
      <c r="BA64" s="10" t="n"/>
      <c r="BB64" s="10" t="n"/>
      <c r="BC64" s="10" t="n"/>
      <c r="BD64" s="20" t="n"/>
      <c r="BE64" s="19" t="n"/>
      <c r="BF64" s="19" t="n"/>
      <c r="BG64" s="19" t="n"/>
    </row>
    <row r="65" ht="19.5" customHeight="1">
      <c r="A65" s="23" t="n"/>
      <c r="B65" s="22" t="n"/>
      <c r="C65" s="21" t="n"/>
      <c r="D65" s="21" t="n"/>
      <c r="E65" s="14" t="n"/>
      <c r="F65" s="14" t="n"/>
      <c r="G65" s="14" t="n"/>
      <c r="H65" s="14" t="n"/>
      <c r="I65" s="14" t="n"/>
      <c r="J65" s="14" t="n"/>
      <c r="K65" s="14" t="n"/>
      <c r="L65" s="14" t="n"/>
      <c r="M65" s="14" t="n"/>
      <c r="N65" s="14" t="n"/>
      <c r="O65" s="14" t="n"/>
      <c r="P65" s="14" t="n"/>
      <c r="Q65" s="14" t="n"/>
      <c r="R65" s="14" t="n"/>
      <c r="S65" s="14" t="n"/>
      <c r="T65" s="13"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0" t="n"/>
      <c r="AX65" s="10" t="n"/>
      <c r="AY65" s="10" t="n"/>
      <c r="AZ65" s="10" t="n"/>
      <c r="BA65" s="10" t="n"/>
      <c r="BB65" s="10" t="n"/>
      <c r="BC65" s="10" t="n"/>
      <c r="BD65" s="20" t="n"/>
      <c r="BE65" s="19" t="n"/>
      <c r="BF65" s="19" t="n"/>
      <c r="BG65" s="19" t="n"/>
    </row>
    <row r="66" ht="19.5" customHeight="1">
      <c r="A66" s="23" t="n"/>
      <c r="B66" s="22" t="n"/>
      <c r="C66" s="21" t="n"/>
      <c r="D66" s="21" t="n"/>
      <c r="E66" s="14" t="n"/>
      <c r="F66" s="14" t="n"/>
      <c r="G66" s="14" t="n"/>
      <c r="H66" s="14" t="n"/>
      <c r="I66" s="14" t="n"/>
      <c r="J66" s="14" t="n"/>
      <c r="K66" s="14" t="n"/>
      <c r="L66" s="14" t="n"/>
      <c r="M66" s="14" t="n"/>
      <c r="N66" s="14" t="n"/>
      <c r="O66" s="14" t="n"/>
      <c r="P66" s="14" t="n"/>
      <c r="Q66" s="14" t="n"/>
      <c r="R66" s="14" t="n"/>
      <c r="S66" s="14" t="n"/>
      <c r="T66" s="13"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0" t="n"/>
      <c r="AX66" s="10" t="n"/>
      <c r="AY66" s="10" t="n"/>
      <c r="AZ66" s="10" t="n"/>
      <c r="BA66" s="10" t="n"/>
      <c r="BB66" s="10" t="n"/>
      <c r="BC66" s="10" t="n"/>
      <c r="BD66" s="20" t="n"/>
      <c r="BE66" s="19" t="n"/>
      <c r="BF66" s="19" t="n"/>
      <c r="BG66" s="19" t="n"/>
    </row>
    <row r="67" ht="19.5" customHeight="1">
      <c r="A67" s="23" t="n"/>
      <c r="B67" s="22" t="n"/>
      <c r="C67" s="21" t="n"/>
      <c r="D67" s="21" t="n"/>
      <c r="E67" s="14" t="n"/>
      <c r="F67" s="14" t="n"/>
      <c r="G67" s="14" t="n"/>
      <c r="H67" s="14" t="n"/>
      <c r="I67" s="14" t="n"/>
      <c r="J67" s="14" t="n"/>
      <c r="K67" s="14" t="n"/>
      <c r="L67" s="14" t="n"/>
      <c r="M67" s="14" t="n"/>
      <c r="N67" s="14" t="n"/>
      <c r="O67" s="14" t="n"/>
      <c r="P67" s="14" t="n"/>
      <c r="Q67" s="14" t="n"/>
      <c r="R67" s="14" t="n"/>
      <c r="S67" s="14" t="n"/>
      <c r="T67" s="13"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0" t="n"/>
      <c r="AX67" s="10" t="n"/>
      <c r="AY67" s="10" t="n"/>
      <c r="AZ67" s="10" t="n"/>
      <c r="BA67" s="10" t="n"/>
      <c r="BB67" s="10" t="n"/>
      <c r="BC67" s="10" t="n"/>
      <c r="BD67" s="20" t="n"/>
      <c r="BE67" s="19" t="n"/>
      <c r="BF67" s="19" t="n"/>
      <c r="BG67" s="19" t="n"/>
    </row>
    <row r="68" ht="19.5" customHeight="1">
      <c r="A68" s="23" t="n"/>
      <c r="B68" s="22" t="n"/>
      <c r="C68" s="21" t="n"/>
      <c r="D68" s="21" t="n"/>
      <c r="E68" s="14" t="n"/>
      <c r="F68" s="14" t="n"/>
      <c r="G68" s="14" t="n"/>
      <c r="H68" s="14" t="n"/>
      <c r="I68" s="14" t="n"/>
      <c r="J68" s="14" t="n"/>
      <c r="K68" s="14" t="n"/>
      <c r="L68" s="14" t="n"/>
      <c r="M68" s="14" t="n"/>
      <c r="N68" s="14" t="n"/>
      <c r="O68" s="14" t="n"/>
      <c r="P68" s="14" t="n"/>
      <c r="Q68" s="14" t="n"/>
      <c r="R68" s="14" t="n"/>
      <c r="S68" s="14" t="n"/>
      <c r="T68" s="13"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0" t="n"/>
      <c r="AX68" s="10" t="n"/>
      <c r="AY68" s="10" t="n"/>
      <c r="AZ68" s="10" t="n"/>
      <c r="BA68" s="10" t="n"/>
      <c r="BB68" s="10" t="n"/>
      <c r="BC68" s="10" t="n"/>
      <c r="BD68" s="20" t="n"/>
      <c r="BE68" s="19" t="n"/>
      <c r="BF68" s="19" t="n"/>
      <c r="BG68" s="19" t="n"/>
    </row>
    <row r="69" ht="19.5" customHeight="1">
      <c r="A69" s="23" t="n"/>
      <c r="B69" s="22" t="n"/>
      <c r="C69" s="21" t="n"/>
      <c r="D69" s="21" t="n"/>
      <c r="E69" s="24" t="n"/>
      <c r="F69" s="24" t="n"/>
      <c r="G69" s="24" t="n"/>
      <c r="H69" s="14" t="n"/>
      <c r="I69" s="24" t="n"/>
      <c r="J69" s="24" t="n"/>
      <c r="K69" s="24" t="n"/>
      <c r="L69" s="24" t="n"/>
      <c r="M69" s="24" t="n"/>
      <c r="N69" s="14" t="n"/>
      <c r="O69" s="14" t="n"/>
      <c r="P69" s="14" t="n"/>
      <c r="Q69" s="14" t="n"/>
      <c r="R69" s="24" t="n"/>
      <c r="S69" s="14" t="n"/>
      <c r="T69" s="13"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0" t="n"/>
      <c r="AX69" s="10" t="n"/>
      <c r="AY69" s="10" t="n"/>
      <c r="AZ69" s="10" t="n"/>
      <c r="BA69" s="10" t="n"/>
      <c r="BB69" s="10" t="n"/>
      <c r="BC69" s="10" t="n"/>
      <c r="BD69" s="20" t="n"/>
      <c r="BE69" s="19" t="n"/>
      <c r="BF69" s="19" t="n"/>
      <c r="BG69" s="19" t="n"/>
    </row>
    <row r="70" ht="19.5" customHeight="1">
      <c r="A70" s="23" t="n"/>
      <c r="B70" s="22" t="n"/>
      <c r="C70" s="21" t="n"/>
      <c r="D70" s="21" t="n"/>
      <c r="E70" s="24" t="n"/>
      <c r="F70" s="24" t="n"/>
      <c r="G70" s="24" t="n"/>
      <c r="H70" s="14" t="n"/>
      <c r="I70" s="24" t="n"/>
      <c r="J70" s="24" t="n"/>
      <c r="K70" s="24" t="n"/>
      <c r="L70" s="24" t="n"/>
      <c r="M70" s="24" t="n"/>
      <c r="N70" s="14" t="n"/>
      <c r="O70" s="14" t="n"/>
      <c r="P70" s="14" t="n"/>
      <c r="Q70" s="14" t="n"/>
      <c r="R70" s="24" t="n"/>
      <c r="S70" s="14" t="n"/>
      <c r="T70" s="13"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0" t="n"/>
      <c r="AX70" s="10" t="n"/>
      <c r="AY70" s="10" t="n"/>
      <c r="AZ70" s="10" t="n"/>
      <c r="BA70" s="10" t="n"/>
      <c r="BB70" s="10" t="n"/>
      <c r="BC70" s="10" t="n"/>
      <c r="BD70" s="20" t="n"/>
      <c r="BE70" s="19" t="n"/>
      <c r="BF70" s="19" t="n"/>
      <c r="BG70" s="19" t="n"/>
    </row>
    <row r="71" ht="19.5" customHeight="1">
      <c r="A71" s="23" t="n"/>
      <c r="B71" s="22" t="n"/>
      <c r="C71" s="21" t="n"/>
      <c r="D71" s="21" t="n"/>
      <c r="E71" s="24" t="n"/>
      <c r="F71" s="24" t="n"/>
      <c r="G71" s="24" t="n"/>
      <c r="H71" s="14" t="n"/>
      <c r="I71" s="24" t="n"/>
      <c r="J71" s="24" t="n"/>
      <c r="K71" s="24" t="n"/>
      <c r="L71" s="24" t="n"/>
      <c r="M71" s="24" t="n"/>
      <c r="N71" s="14" t="n"/>
      <c r="O71" s="14" t="n"/>
      <c r="P71" s="14" t="n"/>
      <c r="Q71" s="14" t="n"/>
      <c r="R71" s="24" t="n"/>
      <c r="S71" s="14" t="n"/>
      <c r="T71" s="13"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0" t="n"/>
      <c r="AX71" s="10" t="n"/>
      <c r="AY71" s="10" t="n"/>
      <c r="AZ71" s="10" t="n"/>
      <c r="BA71" s="10" t="n"/>
      <c r="BB71" s="10" t="n"/>
      <c r="BC71" s="10" t="n"/>
      <c r="BD71" s="20" t="n"/>
      <c r="BE71" s="19" t="n"/>
      <c r="BF71" s="19" t="n"/>
      <c r="BG71" s="19" t="n"/>
    </row>
    <row r="72" ht="19.5" customHeight="1">
      <c r="A72" s="23" t="n"/>
      <c r="B72" s="22" t="n"/>
      <c r="C72" s="21" t="n"/>
      <c r="D72" s="21" t="n"/>
      <c r="E72" s="24" t="n"/>
      <c r="F72" s="24" t="n"/>
      <c r="G72" s="24" t="n"/>
      <c r="H72" s="14" t="n"/>
      <c r="I72" s="24" t="n"/>
      <c r="J72" s="24" t="n"/>
      <c r="K72" s="24" t="n"/>
      <c r="L72" s="24" t="n"/>
      <c r="M72" s="24" t="n"/>
      <c r="N72" s="14" t="n"/>
      <c r="O72" s="14" t="n"/>
      <c r="P72" s="14" t="n"/>
      <c r="Q72" s="14" t="n"/>
      <c r="R72" s="24" t="n"/>
      <c r="S72" s="14" t="n"/>
      <c r="T72" s="13"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0" t="n"/>
      <c r="AX72" s="10" t="n"/>
      <c r="AY72" s="10" t="n"/>
      <c r="AZ72" s="10" t="n"/>
      <c r="BA72" s="10" t="n"/>
      <c r="BB72" s="10" t="n"/>
      <c r="BC72" s="10" t="n"/>
      <c r="BD72" s="20" t="n"/>
      <c r="BE72" s="19" t="n"/>
      <c r="BF72" s="19" t="n"/>
      <c r="BG72" s="19" t="n"/>
    </row>
    <row r="73" ht="19.5" customHeight="1">
      <c r="A73" s="23" t="n"/>
      <c r="B73" s="22" t="n"/>
      <c r="C73" s="21" t="n"/>
      <c r="D73" s="21" t="n"/>
      <c r="E73" s="24" t="n"/>
      <c r="F73" s="24" t="n"/>
      <c r="G73" s="24" t="n"/>
      <c r="H73" s="14" t="n"/>
      <c r="I73" s="24" t="n"/>
      <c r="J73" s="24" t="n"/>
      <c r="K73" s="24" t="n"/>
      <c r="L73" s="24" t="n"/>
      <c r="M73" s="24" t="n"/>
      <c r="N73" s="14" t="n"/>
      <c r="O73" s="14" t="n"/>
      <c r="P73" s="14" t="n"/>
      <c r="Q73" s="14" t="n"/>
      <c r="R73" s="24" t="n"/>
      <c r="S73" s="14" t="n"/>
      <c r="T73" s="13"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0" t="n"/>
      <c r="AX73" s="10" t="n"/>
      <c r="AY73" s="10" t="n"/>
      <c r="AZ73" s="10" t="n"/>
      <c r="BA73" s="10" t="n"/>
      <c r="BB73" s="10" t="n"/>
      <c r="BC73" s="10" t="n"/>
      <c r="BD73" s="20" t="n"/>
      <c r="BE73" s="19" t="n"/>
      <c r="BF73" s="19" t="n"/>
      <c r="BG73" s="19" t="n"/>
    </row>
    <row r="74" ht="19.5" customHeight="1">
      <c r="A74" s="23" t="n"/>
      <c r="B74" s="22" t="n"/>
      <c r="C74" s="21" t="n"/>
      <c r="D74" s="21" t="n"/>
      <c r="E74" s="24" t="n"/>
      <c r="F74" s="24" t="n"/>
      <c r="G74" s="24" t="n"/>
      <c r="H74" s="14" t="n"/>
      <c r="I74" s="24" t="n"/>
      <c r="J74" s="24" t="n"/>
      <c r="K74" s="24" t="n"/>
      <c r="L74" s="24" t="n"/>
      <c r="M74" s="24" t="n"/>
      <c r="N74" s="14" t="n"/>
      <c r="O74" s="14" t="n"/>
      <c r="P74" s="14" t="n"/>
      <c r="Q74" s="14" t="n"/>
      <c r="R74" s="24" t="n"/>
      <c r="S74" s="14" t="n"/>
      <c r="T74" s="13"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0" t="n"/>
      <c r="AX74" s="10" t="n"/>
      <c r="AY74" s="10" t="n"/>
      <c r="AZ74" s="10" t="n"/>
      <c r="BA74" s="10" t="n"/>
      <c r="BB74" s="10" t="n"/>
      <c r="BC74" s="10" t="n"/>
      <c r="BD74" s="20" t="n"/>
      <c r="BE74" s="19" t="n"/>
      <c r="BF74" s="19" t="n"/>
      <c r="BG74" s="19" t="n"/>
    </row>
    <row r="75" ht="19.5" customHeight="1">
      <c r="A75" s="23" t="n"/>
      <c r="B75" s="22" t="n"/>
      <c r="C75" s="21" t="n"/>
      <c r="D75" s="21" t="n"/>
      <c r="E75" s="24" t="n"/>
      <c r="F75" s="24" t="n"/>
      <c r="G75" s="24" t="n"/>
      <c r="H75" s="14" t="n"/>
      <c r="I75" s="24" t="n"/>
      <c r="J75" s="24" t="n"/>
      <c r="K75" s="24" t="n"/>
      <c r="L75" s="24" t="n"/>
      <c r="M75" s="24" t="n"/>
      <c r="N75" s="14" t="n"/>
      <c r="O75" s="14" t="n"/>
      <c r="P75" s="14" t="n"/>
      <c r="Q75" s="14" t="n"/>
      <c r="R75" s="24" t="n"/>
      <c r="S75" s="14" t="n"/>
      <c r="T75" s="13"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0" t="n"/>
      <c r="AX75" s="10" t="n"/>
      <c r="AY75" s="10" t="n"/>
      <c r="AZ75" s="10" t="n"/>
      <c r="BA75" s="10" t="n"/>
      <c r="BB75" s="10" t="n"/>
      <c r="BC75" s="10" t="n"/>
      <c r="BD75" s="20" t="n"/>
      <c r="BE75" s="19" t="n"/>
      <c r="BF75" s="19" t="n"/>
      <c r="BG75" s="19" t="n"/>
    </row>
    <row r="76" ht="19.5" customHeight="1">
      <c r="A76" s="23" t="n"/>
      <c r="B76" s="22" t="n"/>
      <c r="C76" s="21" t="n"/>
      <c r="D76" s="21" t="n"/>
      <c r="E76" s="24" t="n"/>
      <c r="F76" s="24" t="n"/>
      <c r="G76" s="24" t="n"/>
      <c r="H76" s="14" t="n"/>
      <c r="I76" s="24" t="n"/>
      <c r="J76" s="24" t="n"/>
      <c r="K76" s="24" t="n"/>
      <c r="L76" s="24" t="n"/>
      <c r="M76" s="24" t="n"/>
      <c r="N76" s="14" t="n"/>
      <c r="O76" s="14" t="n"/>
      <c r="P76" s="14" t="n"/>
      <c r="Q76" s="14" t="n"/>
      <c r="R76" s="24" t="n"/>
      <c r="S76" s="14" t="n"/>
      <c r="T76" s="13"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0" t="n"/>
      <c r="AX76" s="10" t="n"/>
      <c r="AY76" s="10" t="n"/>
      <c r="AZ76" s="10" t="n"/>
      <c r="BA76" s="10" t="n"/>
      <c r="BB76" s="10" t="n"/>
      <c r="BC76" s="10" t="n"/>
      <c r="BD76" s="20" t="n"/>
      <c r="BE76" s="19" t="n"/>
      <c r="BF76" s="19" t="n"/>
      <c r="BG76" s="19" t="n"/>
    </row>
    <row r="77" ht="19.5" customHeight="1">
      <c r="A77" s="23" t="n"/>
      <c r="B77" s="22" t="n"/>
      <c r="C77" s="21" t="n"/>
      <c r="D77" s="21" t="n"/>
      <c r="E77" s="24" t="n"/>
      <c r="F77" s="24" t="n"/>
      <c r="G77" s="24" t="n"/>
      <c r="H77" s="14" t="n"/>
      <c r="I77" s="24" t="n"/>
      <c r="J77" s="24" t="n"/>
      <c r="K77" s="24" t="n"/>
      <c r="L77" s="24" t="n"/>
      <c r="M77" s="24" t="n"/>
      <c r="N77" s="14" t="n"/>
      <c r="O77" s="14" t="n"/>
      <c r="P77" s="14" t="n"/>
      <c r="Q77" s="14" t="n"/>
      <c r="R77" s="24" t="n"/>
      <c r="S77" s="14" t="n"/>
      <c r="T77" s="13"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0" t="n"/>
      <c r="AX77" s="10" t="n"/>
      <c r="AY77" s="10" t="n"/>
      <c r="AZ77" s="10" t="n"/>
      <c r="BA77" s="10" t="n"/>
      <c r="BB77" s="10" t="n"/>
      <c r="BC77" s="10" t="n"/>
      <c r="BD77" s="20" t="n"/>
      <c r="BE77" s="19" t="n"/>
      <c r="BF77" s="19" t="n"/>
      <c r="BG77" s="19" t="n"/>
    </row>
    <row r="78" ht="19.5" customHeight="1">
      <c r="A78" s="23" t="n"/>
      <c r="B78" s="22" t="n"/>
      <c r="C78" s="21" t="n"/>
      <c r="D78" s="21" t="n"/>
      <c r="E78" s="24" t="n"/>
      <c r="F78" s="24" t="n"/>
      <c r="G78" s="24" t="n"/>
      <c r="H78" s="14" t="n"/>
      <c r="I78" s="24" t="n"/>
      <c r="J78" s="24" t="n"/>
      <c r="K78" s="24" t="n"/>
      <c r="L78" s="24" t="n"/>
      <c r="M78" s="24" t="n"/>
      <c r="N78" s="14" t="n"/>
      <c r="O78" s="14" t="n"/>
      <c r="P78" s="14" t="n"/>
      <c r="Q78" s="14" t="n"/>
      <c r="R78" s="24" t="n"/>
      <c r="S78" s="14" t="n"/>
      <c r="T78" s="13"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0" t="n"/>
      <c r="AX78" s="10" t="n"/>
      <c r="AY78" s="10" t="n"/>
      <c r="AZ78" s="10" t="n"/>
      <c r="BA78" s="10" t="n"/>
      <c r="BB78" s="10" t="n"/>
      <c r="BC78" s="10" t="n"/>
      <c r="BD78" s="20" t="n"/>
      <c r="BE78" s="19" t="n"/>
      <c r="BF78" s="19" t="n"/>
      <c r="BG78" s="19" t="n"/>
    </row>
    <row r="79" ht="19.5" customHeight="1">
      <c r="A79" s="23" t="n"/>
      <c r="B79" s="22" t="n"/>
      <c r="C79" s="21" t="n"/>
      <c r="D79" s="21" t="n"/>
      <c r="E79" s="24" t="n"/>
      <c r="F79" s="24" t="n"/>
      <c r="G79" s="24" t="n"/>
      <c r="H79" s="14" t="n"/>
      <c r="I79" s="24" t="n"/>
      <c r="J79" s="24" t="n"/>
      <c r="K79" s="24" t="n"/>
      <c r="L79" s="24" t="n"/>
      <c r="M79" s="24" t="n"/>
      <c r="N79" s="14" t="n"/>
      <c r="O79" s="14" t="n"/>
      <c r="P79" s="14" t="n"/>
      <c r="Q79" s="14" t="n"/>
      <c r="R79" s="24" t="n"/>
      <c r="S79" s="14" t="n"/>
      <c r="T79" s="13"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0" t="n"/>
      <c r="AX79" s="10" t="n"/>
      <c r="AY79" s="10" t="n"/>
      <c r="AZ79" s="10" t="n"/>
      <c r="BA79" s="10" t="n"/>
      <c r="BB79" s="10" t="n"/>
      <c r="BC79" s="10" t="n"/>
      <c r="BD79" s="20" t="n"/>
      <c r="BE79" s="19" t="n"/>
      <c r="BF79" s="19" t="n"/>
      <c r="BG79" s="19" t="n"/>
    </row>
    <row r="80" ht="19.5" customHeight="1">
      <c r="A80" s="23" t="n"/>
      <c r="B80" s="22" t="n"/>
      <c r="C80" s="21" t="n"/>
      <c r="D80" s="21" t="n"/>
      <c r="E80" s="24" t="n"/>
      <c r="F80" s="24" t="n"/>
      <c r="G80" s="24" t="n"/>
      <c r="H80" s="14" t="n"/>
      <c r="I80" s="24" t="n"/>
      <c r="J80" s="24" t="n"/>
      <c r="K80" s="24" t="n"/>
      <c r="L80" s="24" t="n"/>
      <c r="M80" s="24" t="n"/>
      <c r="N80" s="14" t="n"/>
      <c r="O80" s="14" t="n"/>
      <c r="P80" s="14" t="n"/>
      <c r="Q80" s="14" t="n"/>
      <c r="R80" s="24" t="n"/>
      <c r="S80" s="14" t="n"/>
      <c r="T80" s="13"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0" t="n"/>
      <c r="AX80" s="10" t="n"/>
      <c r="AY80" s="10" t="n"/>
      <c r="AZ80" s="10" t="n"/>
      <c r="BA80" s="10" t="n"/>
      <c r="BB80" s="10" t="n"/>
      <c r="BC80" s="10" t="n"/>
      <c r="BD80" s="20" t="n"/>
      <c r="BE80" s="19" t="n"/>
      <c r="BF80" s="19" t="n"/>
      <c r="BG80" s="19" t="n"/>
    </row>
    <row r="81" ht="19.5" customHeight="1">
      <c r="A81" s="23" t="n"/>
      <c r="B81" s="22" t="n"/>
      <c r="C81" s="21" t="n"/>
      <c r="D81" s="21" t="n"/>
      <c r="E81" s="24" t="n"/>
      <c r="F81" s="24" t="n"/>
      <c r="G81" s="24" t="n"/>
      <c r="H81" s="14" t="n"/>
      <c r="I81" s="24" t="n"/>
      <c r="J81" s="24" t="n"/>
      <c r="K81" s="24" t="n"/>
      <c r="L81" s="24" t="n"/>
      <c r="M81" s="24" t="n"/>
      <c r="N81" s="14" t="n"/>
      <c r="O81" s="14" t="n"/>
      <c r="P81" s="14" t="n"/>
      <c r="Q81" s="14" t="n"/>
      <c r="R81" s="24" t="n"/>
      <c r="S81" s="14" t="n"/>
      <c r="T81" s="13"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0" t="n"/>
      <c r="AX81" s="10" t="n"/>
      <c r="AY81" s="10" t="n"/>
      <c r="AZ81" s="10" t="n"/>
      <c r="BA81" s="10" t="n"/>
      <c r="BB81" s="10" t="n"/>
      <c r="BC81" s="10" t="n"/>
      <c r="BD81" s="20" t="n"/>
      <c r="BE81" s="19" t="n"/>
      <c r="BF81" s="19" t="n"/>
      <c r="BG81" s="19" t="n"/>
    </row>
    <row r="82" ht="19.5" customHeight="1">
      <c r="A82" s="23" t="n"/>
      <c r="B82" s="22" t="n"/>
      <c r="C82" s="21" t="n"/>
      <c r="D82" s="21" t="n"/>
      <c r="E82" s="24" t="n"/>
      <c r="F82" s="24" t="n"/>
      <c r="G82" s="24" t="n"/>
      <c r="H82" s="14" t="n"/>
      <c r="I82" s="24" t="n"/>
      <c r="J82" s="24" t="n"/>
      <c r="K82" s="24" t="n"/>
      <c r="L82" s="24" t="n"/>
      <c r="M82" s="24" t="n"/>
      <c r="N82" s="14" t="n"/>
      <c r="O82" s="14" t="n"/>
      <c r="P82" s="14" t="n"/>
      <c r="Q82" s="14" t="n"/>
      <c r="R82" s="24" t="n"/>
      <c r="S82" s="14" t="n"/>
      <c r="T82" s="13"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0" t="n"/>
      <c r="AX82" s="10" t="n"/>
      <c r="AY82" s="10" t="n"/>
      <c r="AZ82" s="10" t="n"/>
      <c r="BA82" s="10" t="n"/>
      <c r="BB82" s="10" t="n"/>
      <c r="BC82" s="10" t="n"/>
      <c r="BD82" s="20" t="n"/>
      <c r="BE82" s="19" t="n"/>
      <c r="BF82" s="19" t="n"/>
      <c r="BG82" s="19" t="n"/>
    </row>
    <row r="83" ht="19.5" customHeight="1">
      <c r="A83" s="23" t="n"/>
      <c r="B83" s="22" t="n"/>
      <c r="C83" s="21" t="n"/>
      <c r="D83" s="21" t="n"/>
      <c r="E83" s="24" t="n"/>
      <c r="F83" s="24" t="n"/>
      <c r="G83" s="24" t="n"/>
      <c r="H83" s="14" t="n"/>
      <c r="I83" s="24" t="n"/>
      <c r="J83" s="24" t="n"/>
      <c r="K83" s="24" t="n"/>
      <c r="L83" s="24" t="n"/>
      <c r="M83" s="24" t="n"/>
      <c r="N83" s="14" t="n"/>
      <c r="O83" s="14" t="n"/>
      <c r="P83" s="14" t="n"/>
      <c r="Q83" s="14" t="n"/>
      <c r="R83" s="24" t="n"/>
      <c r="S83" s="14" t="n"/>
      <c r="T83" s="13"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0" t="n"/>
      <c r="AX83" s="10" t="n"/>
      <c r="AY83" s="10" t="n"/>
      <c r="AZ83" s="10" t="n"/>
      <c r="BA83" s="10" t="n"/>
      <c r="BB83" s="10" t="n"/>
      <c r="BC83" s="10" t="n"/>
      <c r="BD83" s="20" t="n"/>
      <c r="BE83" s="19" t="n"/>
      <c r="BF83" s="19" t="n"/>
      <c r="BG83" s="19" t="n"/>
    </row>
    <row r="84" ht="19.5" customHeight="1">
      <c r="A84" s="23" t="n"/>
      <c r="B84" s="22" t="n"/>
      <c r="C84" s="21" t="n"/>
      <c r="D84" s="21" t="n"/>
      <c r="E84" s="24" t="n"/>
      <c r="F84" s="24" t="n"/>
      <c r="G84" s="24" t="n"/>
      <c r="H84" s="14" t="n"/>
      <c r="I84" s="24" t="n"/>
      <c r="J84" s="24" t="n"/>
      <c r="K84" s="24" t="n"/>
      <c r="L84" s="24" t="n"/>
      <c r="M84" s="24" t="n"/>
      <c r="N84" s="14" t="n"/>
      <c r="O84" s="14" t="n"/>
      <c r="P84" s="14" t="n"/>
      <c r="Q84" s="14" t="n"/>
      <c r="R84" s="24" t="n"/>
      <c r="S84" s="14" t="n"/>
      <c r="T84" s="13"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0" t="n"/>
      <c r="AX84" s="10" t="n"/>
      <c r="AY84" s="10" t="n"/>
      <c r="AZ84" s="10" t="n"/>
      <c r="BA84" s="10" t="n"/>
      <c r="BB84" s="10" t="n"/>
      <c r="BC84" s="10" t="n"/>
      <c r="BD84" s="20" t="n"/>
      <c r="BE84" s="19" t="n"/>
      <c r="BF84" s="19" t="n"/>
      <c r="BG84" s="19" t="n"/>
    </row>
    <row r="85" ht="19.5" customHeight="1">
      <c r="A85" s="23" t="n"/>
      <c r="B85" s="22" t="n"/>
      <c r="C85" s="21" t="n"/>
      <c r="D85" s="21" t="n"/>
      <c r="E85" s="24" t="n"/>
      <c r="F85" s="24" t="n"/>
      <c r="G85" s="24" t="n"/>
      <c r="H85" s="14" t="n"/>
      <c r="I85" s="24" t="n"/>
      <c r="J85" s="24" t="n"/>
      <c r="K85" s="24" t="n"/>
      <c r="L85" s="24" t="n"/>
      <c r="M85" s="24" t="n"/>
      <c r="N85" s="14" t="n"/>
      <c r="O85" s="14" t="n"/>
      <c r="P85" s="14" t="n"/>
      <c r="Q85" s="14" t="n"/>
      <c r="R85" s="24" t="n"/>
      <c r="S85" s="14" t="n"/>
      <c r="T85" s="13"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0" t="n"/>
      <c r="AX85" s="10" t="n"/>
      <c r="AY85" s="10" t="n"/>
      <c r="AZ85" s="10" t="n"/>
      <c r="BA85" s="10" t="n"/>
      <c r="BB85" s="10" t="n"/>
      <c r="BC85" s="10" t="n"/>
      <c r="BD85" s="20" t="n"/>
      <c r="BE85" s="19" t="n"/>
      <c r="BF85" s="19" t="n"/>
      <c r="BG85" s="19" t="n"/>
    </row>
    <row r="86" ht="19.5" customHeight="1">
      <c r="A86" s="23" t="n"/>
      <c r="B86" s="22" t="n"/>
      <c r="C86" s="21" t="n"/>
      <c r="D86" s="21" t="n"/>
      <c r="E86" s="24" t="n"/>
      <c r="F86" s="24" t="n"/>
      <c r="G86" s="24" t="n"/>
      <c r="H86" s="14" t="n"/>
      <c r="I86" s="24" t="n"/>
      <c r="J86" s="24" t="n"/>
      <c r="K86" s="24" t="n"/>
      <c r="L86" s="24" t="n"/>
      <c r="M86" s="24" t="n"/>
      <c r="N86" s="14" t="n"/>
      <c r="O86" s="14" t="n"/>
      <c r="P86" s="14" t="n"/>
      <c r="Q86" s="14" t="n"/>
      <c r="R86" s="24" t="n"/>
      <c r="S86" s="14" t="n"/>
      <c r="T86" s="13"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0" t="n"/>
      <c r="AX86" s="10" t="n"/>
      <c r="AY86" s="10" t="n"/>
      <c r="AZ86" s="10" t="n"/>
      <c r="BA86" s="10" t="n"/>
      <c r="BB86" s="10" t="n"/>
      <c r="BC86" s="10" t="n"/>
      <c r="BD86" s="20" t="n"/>
      <c r="BE86" s="19" t="n"/>
      <c r="BF86" s="19" t="n"/>
      <c r="BG86" s="19" t="n"/>
    </row>
    <row r="87" ht="19.5" customHeight="1">
      <c r="A87" s="23" t="n"/>
      <c r="B87" s="22" t="n"/>
      <c r="C87" s="21" t="n"/>
      <c r="D87" s="21" t="n"/>
      <c r="E87" s="24" t="n"/>
      <c r="F87" s="24" t="n"/>
      <c r="G87" s="24" t="n"/>
      <c r="H87" s="14" t="n"/>
      <c r="I87" s="24" t="n"/>
      <c r="J87" s="24" t="n"/>
      <c r="K87" s="24" t="n"/>
      <c r="L87" s="24" t="n"/>
      <c r="M87" s="24" t="n"/>
      <c r="N87" s="14" t="n"/>
      <c r="O87" s="14" t="n"/>
      <c r="P87" s="14" t="n"/>
      <c r="Q87" s="14" t="n"/>
      <c r="R87" s="24" t="n"/>
      <c r="S87" s="14" t="n"/>
      <c r="T87" s="13"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0" t="n"/>
      <c r="AX87" s="10" t="n"/>
      <c r="AY87" s="10" t="n"/>
      <c r="AZ87" s="10" t="n"/>
      <c r="BA87" s="10" t="n"/>
      <c r="BB87" s="10" t="n"/>
      <c r="BC87" s="10" t="n"/>
      <c r="BD87" s="20" t="n"/>
      <c r="BE87" s="19" t="n"/>
      <c r="BF87" s="19" t="n"/>
      <c r="BG87" s="19" t="n"/>
    </row>
    <row r="88" ht="19.5" customHeight="1">
      <c r="A88" s="23" t="n"/>
      <c r="B88" s="22" t="n"/>
      <c r="C88" s="21" t="n"/>
      <c r="D88" s="21" t="n"/>
      <c r="E88" s="24" t="n"/>
      <c r="F88" s="24" t="n"/>
      <c r="G88" s="24" t="n"/>
      <c r="H88" s="14" t="n"/>
      <c r="I88" s="24" t="n"/>
      <c r="J88" s="24" t="n"/>
      <c r="K88" s="24" t="n"/>
      <c r="L88" s="24" t="n"/>
      <c r="M88" s="24" t="n"/>
      <c r="N88" s="14" t="n"/>
      <c r="O88" s="14" t="n"/>
      <c r="P88" s="14" t="n"/>
      <c r="Q88" s="14" t="n"/>
      <c r="R88" s="24" t="n"/>
      <c r="S88" s="14" t="n"/>
      <c r="T88" s="13"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0" t="n"/>
      <c r="AX88" s="10" t="n"/>
      <c r="AY88" s="10" t="n"/>
      <c r="AZ88" s="10" t="n"/>
      <c r="BA88" s="10" t="n"/>
      <c r="BB88" s="10" t="n"/>
      <c r="BC88" s="10" t="n"/>
      <c r="BD88" s="20" t="n"/>
      <c r="BE88" s="19" t="n"/>
      <c r="BF88" s="19" t="n"/>
      <c r="BG88" s="19" t="n"/>
    </row>
    <row r="89" ht="19.5" customHeight="1">
      <c r="A89" s="23" t="n"/>
      <c r="B89" s="22" t="n"/>
      <c r="C89" s="21" t="n"/>
      <c r="D89" s="21" t="n"/>
      <c r="E89" s="24" t="n"/>
      <c r="F89" s="24" t="n"/>
      <c r="G89" s="24" t="n"/>
      <c r="H89" s="14" t="n"/>
      <c r="I89" s="24" t="n"/>
      <c r="J89" s="24" t="n"/>
      <c r="K89" s="24" t="n"/>
      <c r="L89" s="24" t="n"/>
      <c r="M89" s="24" t="n"/>
      <c r="N89" s="14" t="n"/>
      <c r="O89" s="14" t="n"/>
      <c r="P89" s="14" t="n"/>
      <c r="Q89" s="14" t="n"/>
      <c r="R89" s="24" t="n"/>
      <c r="S89" s="14" t="n"/>
      <c r="T89" s="13"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0" t="n"/>
      <c r="AX89" s="10" t="n"/>
      <c r="AY89" s="10" t="n"/>
      <c r="AZ89" s="10" t="n"/>
      <c r="BA89" s="10" t="n"/>
      <c r="BB89" s="10" t="n"/>
      <c r="BC89" s="10" t="n"/>
      <c r="BD89" s="20" t="n"/>
      <c r="BE89" s="19" t="n"/>
      <c r="BF89" s="19" t="n"/>
      <c r="BG89" s="19" t="n"/>
    </row>
    <row r="90" ht="19.5" customHeight="1">
      <c r="A90" s="23" t="n"/>
      <c r="B90" s="22" t="n"/>
      <c r="C90" s="21" t="n"/>
      <c r="D90" s="21" t="n"/>
      <c r="E90" s="24" t="n"/>
      <c r="F90" s="24" t="n"/>
      <c r="G90" s="24" t="n"/>
      <c r="H90" s="14" t="n"/>
      <c r="I90" s="24" t="n"/>
      <c r="J90" s="24" t="n"/>
      <c r="K90" s="24" t="n"/>
      <c r="L90" s="24" t="n"/>
      <c r="M90" s="24" t="n"/>
      <c r="N90" s="14" t="n"/>
      <c r="O90" s="14" t="n"/>
      <c r="P90" s="14" t="n"/>
      <c r="Q90" s="14" t="n"/>
      <c r="R90" s="24" t="n"/>
      <c r="S90" s="14" t="n"/>
      <c r="T90" s="13"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0" t="n"/>
      <c r="AX90" s="10" t="n"/>
      <c r="AY90" s="10" t="n"/>
      <c r="AZ90" s="10" t="n"/>
      <c r="BA90" s="10" t="n"/>
      <c r="BB90" s="10" t="n"/>
      <c r="BC90" s="10" t="n"/>
      <c r="BD90" s="20" t="n"/>
      <c r="BE90" s="19" t="n"/>
      <c r="BF90" s="19" t="n"/>
      <c r="BG90" s="19" t="n"/>
    </row>
    <row r="91" ht="19.5" customHeight="1">
      <c r="A91" s="23" t="n"/>
      <c r="B91" s="22" t="n"/>
      <c r="C91" s="21" t="n"/>
      <c r="D91" s="21" t="n"/>
      <c r="E91" s="24" t="n"/>
      <c r="F91" s="24" t="n"/>
      <c r="G91" s="24" t="n"/>
      <c r="H91" s="14" t="n"/>
      <c r="I91" s="24" t="n"/>
      <c r="J91" s="24" t="n"/>
      <c r="K91" s="24" t="n"/>
      <c r="L91" s="24" t="n"/>
      <c r="M91" s="24" t="n"/>
      <c r="N91" s="14" t="n"/>
      <c r="O91" s="14" t="n"/>
      <c r="P91" s="14" t="n"/>
      <c r="Q91" s="14" t="n"/>
      <c r="R91" s="24" t="n"/>
      <c r="S91" s="14" t="n"/>
      <c r="T91" s="13"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0" t="n"/>
      <c r="AX91" s="10" t="n"/>
      <c r="AY91" s="10" t="n"/>
      <c r="AZ91" s="10" t="n"/>
      <c r="BA91" s="10" t="n"/>
      <c r="BB91" s="10" t="n"/>
      <c r="BC91" s="10" t="n"/>
      <c r="BD91" s="20" t="n"/>
      <c r="BE91" s="19" t="n"/>
      <c r="BF91" s="19" t="n"/>
      <c r="BG91" s="19" t="n"/>
    </row>
    <row r="92" ht="19.5" customHeight="1">
      <c r="A92" s="23" t="n"/>
      <c r="B92" s="22" t="n"/>
      <c r="C92" s="21" t="n"/>
      <c r="D92" s="21" t="n"/>
      <c r="E92" s="24" t="n"/>
      <c r="F92" s="24" t="n"/>
      <c r="G92" s="24" t="n"/>
      <c r="H92" s="14" t="n"/>
      <c r="I92" s="24" t="n"/>
      <c r="J92" s="24" t="n"/>
      <c r="K92" s="24" t="n"/>
      <c r="L92" s="24" t="n"/>
      <c r="M92" s="24" t="n"/>
      <c r="N92" s="14" t="n"/>
      <c r="O92" s="14" t="n"/>
      <c r="P92" s="14" t="n"/>
      <c r="Q92" s="14" t="n"/>
      <c r="R92" s="24" t="n"/>
      <c r="S92" s="14" t="n"/>
      <c r="T92" s="13"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0" t="n"/>
      <c r="AX92" s="10" t="n"/>
      <c r="AY92" s="10" t="n"/>
      <c r="AZ92" s="10" t="n"/>
      <c r="BA92" s="10" t="n"/>
      <c r="BB92" s="10" t="n"/>
      <c r="BC92" s="10" t="n"/>
      <c r="BD92" s="20" t="n"/>
      <c r="BE92" s="19" t="n"/>
      <c r="BF92" s="19" t="n"/>
      <c r="BG92" s="19" t="n"/>
    </row>
    <row r="93" ht="19.5" customHeight="1">
      <c r="A93" s="23" t="n"/>
      <c r="B93" s="22" t="n"/>
      <c r="C93" s="21" t="n"/>
      <c r="D93" s="21" t="n"/>
      <c r="E93" s="24" t="n"/>
      <c r="F93" s="24" t="n"/>
      <c r="G93" s="24" t="n"/>
      <c r="H93" s="14" t="n"/>
      <c r="I93" s="24" t="n"/>
      <c r="J93" s="24" t="n"/>
      <c r="K93" s="24" t="n"/>
      <c r="L93" s="24" t="n"/>
      <c r="M93" s="24" t="n"/>
      <c r="N93" s="14" t="n"/>
      <c r="O93" s="14" t="n"/>
      <c r="P93" s="14" t="n"/>
      <c r="Q93" s="14" t="n"/>
      <c r="R93" s="24" t="n"/>
      <c r="S93" s="14" t="n"/>
      <c r="T93" s="13"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0" t="n"/>
      <c r="AX93" s="10" t="n"/>
      <c r="AY93" s="10" t="n"/>
      <c r="AZ93" s="10" t="n"/>
      <c r="BA93" s="10" t="n"/>
      <c r="BB93" s="10" t="n"/>
      <c r="BC93" s="10" t="n"/>
      <c r="BD93" s="20" t="n"/>
      <c r="BE93" s="19" t="n"/>
      <c r="BF93" s="19" t="n"/>
      <c r="BG93" s="19" t="n"/>
    </row>
    <row r="94" ht="19.5" customHeight="1">
      <c r="A94" s="23" t="n"/>
      <c r="B94" s="22" t="n"/>
      <c r="C94" s="21" t="n"/>
      <c r="D94" s="21" t="n"/>
      <c r="E94" s="24" t="n"/>
      <c r="F94" s="24" t="n"/>
      <c r="G94" s="24" t="n"/>
      <c r="H94" s="14" t="n"/>
      <c r="I94" s="24" t="n"/>
      <c r="J94" s="24" t="n"/>
      <c r="K94" s="24" t="n"/>
      <c r="L94" s="24" t="n"/>
      <c r="M94" s="24" t="n"/>
      <c r="N94" s="14" t="n"/>
      <c r="O94" s="14" t="n"/>
      <c r="P94" s="14" t="n"/>
      <c r="Q94" s="14" t="n"/>
      <c r="R94" s="24" t="n"/>
      <c r="S94" s="14" t="n"/>
      <c r="T94" s="13"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0" t="n"/>
      <c r="AX94" s="10" t="n"/>
      <c r="AY94" s="10" t="n"/>
      <c r="AZ94" s="10" t="n"/>
      <c r="BA94" s="10" t="n"/>
      <c r="BB94" s="10" t="n"/>
      <c r="BC94" s="10" t="n"/>
      <c r="BD94" s="20" t="n"/>
      <c r="BE94" s="19" t="n"/>
      <c r="BF94" s="19" t="n"/>
      <c r="BG94" s="19" t="n"/>
    </row>
    <row r="95" ht="19.5" customHeight="1">
      <c r="A95" s="23" t="n"/>
      <c r="B95" s="22" t="n"/>
      <c r="C95" s="21" t="n"/>
      <c r="D95" s="21" t="n"/>
      <c r="E95" s="24" t="n"/>
      <c r="F95" s="24" t="n"/>
      <c r="G95" s="24" t="n"/>
      <c r="H95" s="14" t="n"/>
      <c r="I95" s="24" t="n"/>
      <c r="J95" s="24" t="n"/>
      <c r="K95" s="24" t="n"/>
      <c r="L95" s="24" t="n"/>
      <c r="M95" s="24" t="n"/>
      <c r="N95" s="14" t="n"/>
      <c r="O95" s="14" t="n"/>
      <c r="P95" s="14" t="n"/>
      <c r="Q95" s="14" t="n"/>
      <c r="R95" s="24" t="n"/>
      <c r="S95" s="14" t="n"/>
      <c r="T95" s="13"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0" t="n"/>
      <c r="AX95" s="10" t="n"/>
      <c r="AY95" s="10" t="n"/>
      <c r="AZ95" s="10" t="n"/>
      <c r="BA95" s="10" t="n"/>
      <c r="BB95" s="10" t="n"/>
      <c r="BC95" s="10" t="n"/>
      <c r="BD95" s="20" t="n"/>
      <c r="BE95" s="19" t="n"/>
      <c r="BF95" s="19" t="n"/>
      <c r="BG95" s="19" t="n"/>
    </row>
    <row r="96" ht="19.5" customHeight="1">
      <c r="A96" s="23" t="n"/>
      <c r="B96" s="22" t="n"/>
      <c r="C96" s="21" t="n"/>
      <c r="D96" s="21" t="n"/>
      <c r="E96" s="24" t="n"/>
      <c r="F96" s="24" t="n"/>
      <c r="G96" s="24" t="n"/>
      <c r="H96" s="14" t="n"/>
      <c r="I96" s="24" t="n"/>
      <c r="J96" s="24" t="n"/>
      <c r="K96" s="24" t="n"/>
      <c r="L96" s="24" t="n"/>
      <c r="M96" s="24" t="n"/>
      <c r="N96" s="14" t="n"/>
      <c r="O96" s="14" t="n"/>
      <c r="P96" s="14" t="n"/>
      <c r="Q96" s="14" t="n"/>
      <c r="R96" s="24" t="n"/>
      <c r="S96" s="14" t="n"/>
      <c r="T96" s="13"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0" t="n"/>
      <c r="AX96" s="10" t="n"/>
      <c r="AY96" s="10" t="n"/>
      <c r="AZ96" s="10" t="n"/>
      <c r="BA96" s="10" t="n"/>
      <c r="BB96" s="10" t="n"/>
      <c r="BC96" s="10" t="n"/>
      <c r="BD96" s="20" t="n"/>
      <c r="BE96" s="19" t="n"/>
      <c r="BF96" s="19" t="n"/>
      <c r="BG96" s="19" t="n"/>
    </row>
    <row r="97" ht="19.5" customHeight="1">
      <c r="A97" s="23" t="n"/>
      <c r="B97" s="22" t="n"/>
      <c r="C97" s="21" t="n"/>
      <c r="D97" s="21" t="n"/>
      <c r="E97" s="24" t="n"/>
      <c r="F97" s="24" t="n"/>
      <c r="G97" s="24" t="n"/>
      <c r="H97" s="14" t="n"/>
      <c r="I97" s="24" t="n"/>
      <c r="J97" s="24" t="n"/>
      <c r="K97" s="24" t="n"/>
      <c r="L97" s="24" t="n"/>
      <c r="M97" s="24" t="n"/>
      <c r="N97" s="14" t="n"/>
      <c r="O97" s="14" t="n"/>
      <c r="P97" s="14" t="n"/>
      <c r="Q97" s="14" t="n"/>
      <c r="R97" s="24" t="n"/>
      <c r="S97" s="14" t="n"/>
      <c r="T97" s="13"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0" t="n"/>
      <c r="AX97" s="10" t="n"/>
      <c r="AY97" s="10" t="n"/>
      <c r="AZ97" s="10" t="n"/>
      <c r="BA97" s="10" t="n"/>
      <c r="BB97" s="10" t="n"/>
      <c r="BC97" s="10" t="n"/>
      <c r="BD97" s="20" t="n"/>
      <c r="BE97" s="19" t="n"/>
      <c r="BF97" s="19" t="n"/>
      <c r="BG97" s="19" t="n"/>
    </row>
    <row r="98" ht="19.5" customHeight="1">
      <c r="A98" s="23" t="n"/>
      <c r="B98" s="22" t="n"/>
      <c r="C98" s="21" t="n"/>
      <c r="D98" s="21" t="n"/>
      <c r="E98" s="24" t="n"/>
      <c r="F98" s="24" t="n"/>
      <c r="G98" s="24" t="n"/>
      <c r="H98" s="14" t="n"/>
      <c r="I98" s="24" t="n"/>
      <c r="J98" s="24" t="n"/>
      <c r="K98" s="24" t="n"/>
      <c r="L98" s="24" t="n"/>
      <c r="M98" s="24" t="n"/>
      <c r="N98" s="14" t="n"/>
      <c r="O98" s="14" t="n"/>
      <c r="P98" s="14" t="n"/>
      <c r="Q98" s="14" t="n"/>
      <c r="R98" s="24" t="n"/>
      <c r="S98" s="14" t="n"/>
      <c r="T98" s="13"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0" t="n"/>
      <c r="AX98" s="10" t="n"/>
      <c r="AY98" s="10" t="n"/>
      <c r="AZ98" s="10" t="n"/>
      <c r="BA98" s="10" t="n"/>
      <c r="BB98" s="10" t="n"/>
      <c r="BC98" s="10" t="n"/>
      <c r="BD98" s="20" t="n"/>
      <c r="BE98" s="19" t="n"/>
      <c r="BF98" s="19" t="n"/>
      <c r="BG98" s="19" t="n"/>
    </row>
    <row r="99" ht="19.5" customHeight="1">
      <c r="A99" s="23" t="n"/>
      <c r="B99" s="22" t="n"/>
      <c r="C99" s="21" t="n"/>
      <c r="D99" s="21" t="n"/>
      <c r="E99" s="24" t="n"/>
      <c r="F99" s="24" t="n"/>
      <c r="G99" s="24" t="n"/>
      <c r="H99" s="14" t="n"/>
      <c r="I99" s="24" t="n"/>
      <c r="J99" s="24" t="n"/>
      <c r="K99" s="24" t="n"/>
      <c r="L99" s="24" t="n"/>
      <c r="M99" s="24" t="n"/>
      <c r="N99" s="14" t="n"/>
      <c r="O99" s="14" t="n"/>
      <c r="P99" s="14" t="n"/>
      <c r="Q99" s="14" t="n"/>
      <c r="R99" s="24" t="n"/>
      <c r="S99" s="14" t="n"/>
      <c r="T99" s="13"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0" t="n"/>
      <c r="AX99" s="10" t="n"/>
      <c r="AY99" s="10" t="n"/>
      <c r="AZ99" s="10" t="n"/>
      <c r="BA99" s="10" t="n"/>
      <c r="BB99" s="10" t="n"/>
      <c r="BC99" s="10" t="n"/>
      <c r="BD99" s="20" t="n"/>
      <c r="BE99" s="19" t="n"/>
      <c r="BF99" s="19" t="n"/>
      <c r="BG99" s="19" t="n"/>
    </row>
    <row r="100" ht="19.5" customHeight="1">
      <c r="A100" s="23" t="n"/>
      <c r="B100" s="22" t="n"/>
      <c r="C100" s="21" t="n"/>
      <c r="D100" s="21" t="n"/>
      <c r="E100" s="24" t="n"/>
      <c r="F100" s="24" t="n"/>
      <c r="G100" s="24" t="n"/>
      <c r="H100" s="14" t="n"/>
      <c r="I100" s="24" t="n"/>
      <c r="J100" s="24" t="n"/>
      <c r="K100" s="24" t="n"/>
      <c r="L100" s="24" t="n"/>
      <c r="M100" s="24" t="n"/>
      <c r="N100" s="14" t="n"/>
      <c r="O100" s="14" t="n"/>
      <c r="P100" s="14" t="n"/>
      <c r="Q100" s="14" t="n"/>
      <c r="R100" s="24" t="n"/>
      <c r="S100" s="14" t="n"/>
      <c r="T100" s="13"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0" t="n"/>
      <c r="AX100" s="10" t="n"/>
      <c r="AY100" s="10" t="n"/>
      <c r="AZ100" s="10" t="n"/>
      <c r="BA100" s="10" t="n"/>
      <c r="BB100" s="10" t="n"/>
      <c r="BC100" s="10" t="n"/>
      <c r="BD100" s="20" t="n"/>
      <c r="BE100" s="19" t="n"/>
      <c r="BF100" s="19" t="n"/>
      <c r="BG100" s="19" t="n"/>
    </row>
    <row r="101" ht="19.5" customHeight="1">
      <c r="A101" s="23" t="n"/>
      <c r="B101" s="22" t="n"/>
      <c r="C101" s="21" t="n"/>
      <c r="D101" s="21" t="n"/>
      <c r="E101" s="24" t="n"/>
      <c r="F101" s="24" t="n"/>
      <c r="G101" s="24" t="n"/>
      <c r="H101" s="14" t="n"/>
      <c r="I101" s="24" t="n"/>
      <c r="J101" s="24" t="n"/>
      <c r="K101" s="24" t="n"/>
      <c r="L101" s="24" t="n"/>
      <c r="M101" s="24" t="n"/>
      <c r="N101" s="14" t="n"/>
      <c r="O101" s="14" t="n"/>
      <c r="P101" s="14" t="n"/>
      <c r="Q101" s="14" t="n"/>
      <c r="R101" s="24" t="n"/>
      <c r="S101" s="14" t="n"/>
      <c r="T101" s="13"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0" t="n"/>
      <c r="AX101" s="10" t="n"/>
      <c r="AY101" s="10" t="n"/>
      <c r="AZ101" s="10" t="n"/>
      <c r="BA101" s="10" t="n"/>
      <c r="BB101" s="10" t="n"/>
      <c r="BC101" s="10" t="n"/>
      <c r="BD101" s="20" t="n"/>
      <c r="BE101" s="19" t="n"/>
      <c r="BF101" s="19" t="n"/>
      <c r="BG101" s="19" t="n"/>
    </row>
    <row r="102" ht="19.5" customHeight="1">
      <c r="A102" s="23" t="n"/>
      <c r="B102" s="22" t="n"/>
      <c r="C102" s="21" t="n"/>
      <c r="D102" s="21" t="n"/>
      <c r="E102" s="24" t="n"/>
      <c r="F102" s="24" t="n"/>
      <c r="G102" s="24" t="n"/>
      <c r="H102" s="14" t="n"/>
      <c r="I102" s="24" t="n"/>
      <c r="J102" s="24" t="n"/>
      <c r="K102" s="24" t="n"/>
      <c r="L102" s="24" t="n"/>
      <c r="M102" s="24" t="n"/>
      <c r="N102" s="14" t="n"/>
      <c r="O102" s="14" t="n"/>
      <c r="P102" s="14" t="n"/>
      <c r="Q102" s="14" t="n"/>
      <c r="R102" s="24" t="n"/>
      <c r="S102" s="14" t="n"/>
      <c r="T102" s="13"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0" t="n"/>
      <c r="AX102" s="10" t="n"/>
      <c r="AY102" s="10" t="n"/>
      <c r="AZ102" s="10" t="n"/>
      <c r="BA102" s="10" t="n"/>
      <c r="BB102" s="10" t="n"/>
      <c r="BC102" s="10" t="n"/>
      <c r="BD102" s="20" t="n"/>
      <c r="BE102" s="19" t="n"/>
      <c r="BF102" s="19" t="n"/>
      <c r="BG102" s="19" t="n"/>
    </row>
    <row r="103" ht="19.5" customHeight="1">
      <c r="A103" s="23" t="n"/>
      <c r="B103" s="22" t="n"/>
      <c r="C103" s="21" t="n"/>
      <c r="D103" s="21" t="n"/>
      <c r="E103" s="24" t="n"/>
      <c r="F103" s="24" t="n"/>
      <c r="G103" s="24" t="n"/>
      <c r="H103" s="14" t="n"/>
      <c r="I103" s="24" t="n"/>
      <c r="J103" s="24" t="n"/>
      <c r="K103" s="24" t="n"/>
      <c r="L103" s="24" t="n"/>
      <c r="M103" s="24" t="n"/>
      <c r="N103" s="14" t="n"/>
      <c r="O103" s="14" t="n"/>
      <c r="P103" s="14" t="n"/>
      <c r="Q103" s="14" t="n"/>
      <c r="R103" s="24" t="n"/>
      <c r="S103" s="14" t="n"/>
      <c r="T103" s="13"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0" t="n"/>
      <c r="AX103" s="10" t="n"/>
      <c r="AY103" s="10" t="n"/>
      <c r="AZ103" s="10" t="n"/>
      <c r="BA103" s="10" t="n"/>
      <c r="BB103" s="10" t="n"/>
      <c r="BC103" s="10" t="n"/>
      <c r="BD103" s="20" t="n"/>
      <c r="BE103" s="19" t="n"/>
      <c r="BF103" s="19" t="n"/>
      <c r="BG103" s="19" t="n"/>
    </row>
    <row r="104" ht="19.5" customHeight="1">
      <c r="A104" s="23" t="n"/>
      <c r="B104" s="22" t="n"/>
      <c r="C104" s="21" t="n"/>
      <c r="D104" s="21" t="n"/>
      <c r="E104" s="24" t="n"/>
      <c r="F104" s="24" t="n"/>
      <c r="G104" s="24" t="n"/>
      <c r="H104" s="14" t="n"/>
      <c r="I104" s="24" t="n"/>
      <c r="J104" s="24" t="n"/>
      <c r="K104" s="24" t="n"/>
      <c r="L104" s="24" t="n"/>
      <c r="M104" s="24" t="n"/>
      <c r="N104" s="14" t="n"/>
      <c r="O104" s="14" t="n"/>
      <c r="P104" s="14" t="n"/>
      <c r="Q104" s="14" t="n"/>
      <c r="R104" s="24" t="n"/>
      <c r="S104" s="14" t="n"/>
      <c r="T104" s="13"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0" t="n"/>
      <c r="AX104" s="10" t="n"/>
      <c r="AY104" s="10" t="n"/>
      <c r="AZ104" s="10" t="n"/>
      <c r="BA104" s="10" t="n"/>
      <c r="BB104" s="10" t="n"/>
      <c r="BC104" s="10" t="n"/>
      <c r="BD104" s="20" t="n"/>
      <c r="BE104" s="19" t="n"/>
      <c r="BF104" s="19" t="n"/>
      <c r="BG104" s="19" t="n"/>
    </row>
    <row r="105" ht="19.5" customHeight="1">
      <c r="A105" s="23" t="n"/>
      <c r="B105" s="22" t="n"/>
      <c r="C105" s="21" t="n"/>
      <c r="D105" s="21" t="n"/>
      <c r="E105" s="24" t="n"/>
      <c r="F105" s="24" t="n"/>
      <c r="G105" s="24" t="n"/>
      <c r="H105" s="14" t="n"/>
      <c r="I105" s="24" t="n"/>
      <c r="J105" s="24" t="n"/>
      <c r="K105" s="24" t="n"/>
      <c r="L105" s="24" t="n"/>
      <c r="M105" s="24" t="n"/>
      <c r="N105" s="14" t="n"/>
      <c r="O105" s="14" t="n"/>
      <c r="P105" s="14" t="n"/>
      <c r="Q105" s="14" t="n"/>
      <c r="R105" s="24" t="n"/>
      <c r="S105" s="14" t="n"/>
      <c r="T105" s="13"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0" t="n"/>
      <c r="AX105" s="10" t="n"/>
      <c r="AY105" s="10" t="n"/>
      <c r="AZ105" s="10" t="n"/>
      <c r="BA105" s="10" t="n"/>
      <c r="BB105" s="10" t="n"/>
      <c r="BC105" s="10" t="n"/>
      <c r="BD105" s="20" t="n"/>
      <c r="BE105" s="19" t="n"/>
      <c r="BF105" s="19" t="n"/>
      <c r="BG105" s="19" t="n"/>
    </row>
    <row r="106" ht="19.5" customHeight="1">
      <c r="A106" s="23" t="n"/>
      <c r="B106" s="22" t="n"/>
      <c r="C106" s="21" t="n"/>
      <c r="D106" s="21" t="n"/>
      <c r="E106" s="24" t="n"/>
      <c r="F106" s="24" t="n"/>
      <c r="G106" s="24" t="n"/>
      <c r="H106" s="14" t="n"/>
      <c r="I106" s="24" t="n"/>
      <c r="J106" s="24" t="n"/>
      <c r="K106" s="24" t="n"/>
      <c r="L106" s="24" t="n"/>
      <c r="M106" s="24" t="n"/>
      <c r="N106" s="14" t="n"/>
      <c r="O106" s="14" t="n"/>
      <c r="P106" s="14" t="n"/>
      <c r="Q106" s="14" t="n"/>
      <c r="R106" s="24" t="n"/>
      <c r="S106" s="14" t="n"/>
      <c r="T106" s="13"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0" t="n"/>
      <c r="AX106" s="10" t="n"/>
      <c r="AY106" s="10" t="n"/>
      <c r="AZ106" s="10" t="n"/>
      <c r="BA106" s="10" t="n"/>
      <c r="BB106" s="10" t="n"/>
      <c r="BC106" s="10" t="n"/>
      <c r="BD106" s="20" t="n"/>
      <c r="BE106" s="19" t="n"/>
      <c r="BF106" s="19" t="n"/>
      <c r="BG106" s="19" t="n"/>
    </row>
    <row r="107" ht="19.5" customHeight="1">
      <c r="A107" s="23" t="n"/>
      <c r="B107" s="22" t="n"/>
      <c r="C107" s="21" t="n"/>
      <c r="D107" s="21" t="n"/>
      <c r="E107" s="14" t="n"/>
      <c r="F107" s="14" t="n"/>
      <c r="G107" s="14" t="n"/>
      <c r="H107" s="14" t="n"/>
      <c r="I107" s="14" t="n"/>
      <c r="J107" s="14" t="n"/>
      <c r="K107" s="14" t="n"/>
      <c r="L107" s="14" t="n"/>
      <c r="M107" s="14" t="n"/>
      <c r="N107" s="14" t="n"/>
      <c r="O107" s="14" t="n"/>
      <c r="P107" s="14" t="n"/>
      <c r="Q107" s="14" t="n"/>
      <c r="R107" s="14" t="n"/>
      <c r="S107" s="14" t="n"/>
      <c r="T107" s="13"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0" t="n"/>
      <c r="AX107" s="10" t="n"/>
      <c r="AY107" s="10" t="n"/>
      <c r="AZ107" s="10" t="n"/>
      <c r="BA107" s="10" t="n"/>
      <c r="BB107" s="10" t="n"/>
      <c r="BC107" s="10" t="n"/>
      <c r="BD107" s="20" t="n"/>
      <c r="BE107" s="19" t="n"/>
      <c r="BF107" s="19" t="n"/>
      <c r="BG107" s="19" t="n"/>
    </row>
    <row r="108" ht="19.5" customHeight="1">
      <c r="A108" s="23" t="n"/>
      <c r="B108" s="22" t="n"/>
      <c r="C108" s="21" t="n"/>
      <c r="D108" s="21" t="n"/>
      <c r="E108" s="14" t="n"/>
      <c r="F108" s="14" t="n"/>
      <c r="G108" s="14" t="n"/>
      <c r="H108" s="14" t="n"/>
      <c r="I108" s="14" t="n"/>
      <c r="J108" s="14" t="n"/>
      <c r="K108" s="14" t="n"/>
      <c r="L108" s="14" t="n"/>
      <c r="M108" s="14" t="n"/>
      <c r="N108" s="14" t="n"/>
      <c r="O108" s="14" t="n"/>
      <c r="P108" s="14" t="n"/>
      <c r="Q108" s="14" t="n"/>
      <c r="R108" s="14" t="n"/>
      <c r="S108" s="14" t="n"/>
      <c r="T108" s="13"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0" t="n"/>
      <c r="AX108" s="10" t="n"/>
      <c r="AY108" s="10" t="n"/>
      <c r="AZ108" s="10" t="n"/>
      <c r="BA108" s="10" t="n"/>
      <c r="BB108" s="10" t="n"/>
      <c r="BC108" s="10" t="n"/>
      <c r="BD108" s="20" t="n"/>
      <c r="BE108" s="19" t="n"/>
      <c r="BF108" s="19" t="n"/>
      <c r="BG108" s="19" t="n"/>
    </row>
    <row r="109" ht="19.5" customHeight="1">
      <c r="A109" s="23" t="n"/>
      <c r="B109" s="22" t="n"/>
      <c r="C109" s="21" t="n"/>
      <c r="D109" s="21" t="n"/>
      <c r="E109" s="24" t="n"/>
      <c r="F109" s="24" t="n"/>
      <c r="G109" s="24" t="n"/>
      <c r="H109" s="14" t="n"/>
      <c r="I109" s="24" t="n"/>
      <c r="J109" s="24" t="n"/>
      <c r="K109" s="24" t="n"/>
      <c r="L109" s="24" t="n"/>
      <c r="M109" s="24" t="n"/>
      <c r="N109" s="14" t="n"/>
      <c r="O109" s="14" t="n"/>
      <c r="P109" s="14" t="n"/>
      <c r="Q109" s="14" t="n"/>
      <c r="R109" s="24" t="n"/>
      <c r="S109" s="14" t="n"/>
      <c r="T109" s="13"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0" t="n"/>
      <c r="AX109" s="10" t="n"/>
      <c r="AY109" s="10" t="n"/>
      <c r="AZ109" s="10" t="n"/>
      <c r="BA109" s="10" t="n"/>
      <c r="BB109" s="10" t="n"/>
      <c r="BC109" s="10" t="n"/>
      <c r="BD109" s="20" t="n"/>
      <c r="BE109" s="19" t="n"/>
      <c r="BF109" s="19" t="n"/>
      <c r="BG109" s="19" t="n"/>
    </row>
    <row r="110" ht="19.5" customHeight="1">
      <c r="A110" s="23" t="n"/>
      <c r="B110" s="22" t="n"/>
      <c r="C110" s="21" t="n"/>
      <c r="D110" s="21" t="n"/>
      <c r="E110" s="24" t="n"/>
      <c r="F110" s="24" t="n"/>
      <c r="G110" s="24" t="n"/>
      <c r="H110" s="14" t="n"/>
      <c r="I110" s="24" t="n"/>
      <c r="J110" s="24" t="n"/>
      <c r="K110" s="24" t="n"/>
      <c r="L110" s="24" t="n"/>
      <c r="M110" s="24" t="n"/>
      <c r="N110" s="14" t="n"/>
      <c r="O110" s="14" t="n"/>
      <c r="P110" s="14" t="n"/>
      <c r="Q110" s="14" t="n"/>
      <c r="R110" s="24" t="n"/>
      <c r="S110" s="14" t="n"/>
      <c r="T110" s="13"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0" t="n"/>
      <c r="AX110" s="10" t="n"/>
      <c r="AY110" s="10" t="n"/>
      <c r="AZ110" s="10" t="n"/>
      <c r="BA110" s="10" t="n"/>
      <c r="BB110" s="10" t="n"/>
      <c r="BC110" s="10" t="n"/>
      <c r="BD110" s="20" t="n"/>
      <c r="BE110" s="19" t="n"/>
      <c r="BF110" s="19" t="n"/>
      <c r="BG110" s="19" t="n"/>
    </row>
    <row r="111" ht="19.5" customHeight="1">
      <c r="A111" s="23" t="n"/>
      <c r="B111" s="22" t="n"/>
      <c r="C111" s="21" t="n"/>
      <c r="D111" s="21" t="n"/>
      <c r="E111" s="24" t="n"/>
      <c r="F111" s="24" t="n"/>
      <c r="G111" s="24" t="n"/>
      <c r="H111" s="14" t="n"/>
      <c r="I111" s="24" t="n"/>
      <c r="J111" s="24" t="n"/>
      <c r="K111" s="24" t="n"/>
      <c r="L111" s="24" t="n"/>
      <c r="M111" s="24" t="n"/>
      <c r="N111" s="14" t="n"/>
      <c r="O111" s="14" t="n"/>
      <c r="P111" s="14" t="n"/>
      <c r="Q111" s="14" t="n"/>
      <c r="R111" s="24" t="n"/>
      <c r="S111" s="14" t="n"/>
      <c r="T111" s="13"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0" t="n"/>
      <c r="AX111" s="10" t="n"/>
      <c r="AY111" s="10" t="n"/>
      <c r="AZ111" s="10" t="n"/>
      <c r="BA111" s="10" t="n"/>
      <c r="BB111" s="10" t="n"/>
      <c r="BC111" s="10" t="n"/>
      <c r="BD111" s="20" t="n"/>
      <c r="BE111" s="19" t="n"/>
      <c r="BF111" s="19" t="n"/>
      <c r="BG111" s="19" t="n"/>
    </row>
    <row r="112" ht="19.5" customHeight="1">
      <c r="A112" s="23" t="n"/>
      <c r="B112" s="22" t="n"/>
      <c r="C112" s="21" t="n"/>
      <c r="D112" s="21" t="n"/>
      <c r="E112" s="24" t="n"/>
      <c r="F112" s="24" t="n"/>
      <c r="G112" s="24" t="n"/>
      <c r="H112" s="14" t="n"/>
      <c r="I112" s="24" t="n"/>
      <c r="J112" s="24" t="n"/>
      <c r="K112" s="24" t="n"/>
      <c r="L112" s="24" t="n"/>
      <c r="M112" s="24" t="n"/>
      <c r="N112" s="14" t="n"/>
      <c r="O112" s="14" t="n"/>
      <c r="P112" s="14" t="n"/>
      <c r="Q112" s="14" t="n"/>
      <c r="R112" s="24" t="n"/>
      <c r="S112" s="14" t="n"/>
      <c r="T112" s="13"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0" t="n"/>
      <c r="AX112" s="10" t="n"/>
      <c r="AY112" s="10" t="n"/>
      <c r="AZ112" s="10" t="n"/>
      <c r="BA112" s="10" t="n"/>
      <c r="BB112" s="10" t="n"/>
      <c r="BC112" s="10" t="n"/>
      <c r="BD112" s="20" t="n"/>
      <c r="BE112" s="19" t="n"/>
      <c r="BF112" s="19" t="n"/>
      <c r="BG112" s="19" t="n"/>
    </row>
    <row r="113" ht="19.5" customHeight="1">
      <c r="A113" s="23" t="n"/>
      <c r="B113" s="22" t="n"/>
      <c r="C113" s="21" t="n"/>
      <c r="D113" s="21" t="n"/>
      <c r="E113" s="24" t="n"/>
      <c r="F113" s="24" t="n"/>
      <c r="G113" s="24" t="n"/>
      <c r="H113" s="14" t="n"/>
      <c r="I113" s="24" t="n"/>
      <c r="J113" s="24" t="n"/>
      <c r="K113" s="24" t="n"/>
      <c r="L113" s="24" t="n"/>
      <c r="M113" s="24" t="n"/>
      <c r="N113" s="14" t="n"/>
      <c r="O113" s="14" t="n"/>
      <c r="P113" s="14" t="n"/>
      <c r="Q113" s="14" t="n"/>
      <c r="R113" s="24" t="n"/>
      <c r="S113" s="14" t="n"/>
      <c r="T113" s="13"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0" t="n"/>
      <c r="AX113" s="10" t="n"/>
      <c r="AY113" s="10" t="n"/>
      <c r="AZ113" s="10" t="n"/>
      <c r="BA113" s="10" t="n"/>
      <c r="BB113" s="10" t="n"/>
      <c r="BC113" s="10" t="n"/>
      <c r="BD113" s="20" t="n"/>
      <c r="BE113" s="19" t="n"/>
      <c r="BF113" s="19" t="n"/>
      <c r="BG113" s="19" t="n"/>
    </row>
    <row r="114" ht="19.5" customHeight="1">
      <c r="A114" s="23" t="n"/>
      <c r="B114" s="22" t="n"/>
      <c r="C114" s="21" t="n"/>
      <c r="D114" s="21" t="n"/>
      <c r="E114" s="24" t="n"/>
      <c r="F114" s="24" t="n"/>
      <c r="G114" s="24" t="n"/>
      <c r="H114" s="14" t="n"/>
      <c r="I114" s="24" t="n"/>
      <c r="J114" s="24" t="n"/>
      <c r="K114" s="24" t="n"/>
      <c r="L114" s="24" t="n"/>
      <c r="M114" s="24" t="n"/>
      <c r="N114" s="14" t="n"/>
      <c r="O114" s="14" t="n"/>
      <c r="P114" s="14" t="n"/>
      <c r="Q114" s="14" t="n"/>
      <c r="R114" s="24" t="n"/>
      <c r="S114" s="14" t="n"/>
      <c r="T114" s="13"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0" t="n"/>
      <c r="AX114" s="10" t="n"/>
      <c r="AY114" s="10" t="n"/>
      <c r="AZ114" s="10" t="n"/>
      <c r="BA114" s="10" t="n"/>
      <c r="BB114" s="10" t="n"/>
      <c r="BC114" s="10" t="n"/>
      <c r="BD114" s="20" t="n"/>
      <c r="BE114" s="19" t="n"/>
      <c r="BF114" s="19" t="n"/>
      <c r="BG114" s="19" t="n"/>
    </row>
    <row r="115" ht="19.5" customHeight="1">
      <c r="A115" s="23" t="n"/>
      <c r="B115" s="22" t="n"/>
      <c r="C115" s="21" t="n"/>
      <c r="D115" s="21" t="n"/>
      <c r="E115" s="14" t="n"/>
      <c r="F115" s="14" t="n"/>
      <c r="G115" s="14" t="n"/>
      <c r="H115" s="14" t="n"/>
      <c r="I115" s="14" t="n"/>
      <c r="J115" s="14" t="n"/>
      <c r="K115" s="14" t="n"/>
      <c r="L115" s="14" t="n"/>
      <c r="M115" s="14" t="n"/>
      <c r="N115" s="14" t="n"/>
      <c r="O115" s="14" t="n"/>
      <c r="P115" s="14" t="n"/>
      <c r="Q115" s="14" t="n"/>
      <c r="R115" s="14" t="n"/>
      <c r="S115" s="14" t="n"/>
      <c r="T115" s="13"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0" t="n"/>
      <c r="AX115" s="10" t="n"/>
      <c r="AY115" s="10" t="n"/>
      <c r="AZ115" s="10" t="n"/>
      <c r="BA115" s="10" t="n"/>
      <c r="BB115" s="10" t="n"/>
      <c r="BC115" s="10" t="n"/>
      <c r="BD115" s="20" t="n"/>
      <c r="BE115" s="19" t="n"/>
      <c r="BF115" s="19" t="n"/>
      <c r="BG115" s="19" t="n"/>
    </row>
    <row r="116" ht="19.5" customHeight="1" thickBot="1">
      <c r="A116" s="18" t="n"/>
      <c r="B116" s="17" t="n"/>
      <c r="C116" s="16" t="n"/>
      <c r="D116" s="16" t="n"/>
      <c r="E116" s="15" t="n"/>
      <c r="F116" s="15" t="n"/>
      <c r="G116" s="15" t="n"/>
      <c r="H116" s="14" t="n"/>
      <c r="I116" s="15" t="n"/>
      <c r="J116" s="15" t="n"/>
      <c r="K116" s="15" t="n"/>
      <c r="L116" s="15" t="n"/>
      <c r="M116" s="15" t="n"/>
      <c r="N116" s="14" t="n"/>
      <c r="O116" s="14" t="n"/>
      <c r="P116" s="14" t="n"/>
      <c r="Q116" s="14" t="n"/>
      <c r="R116" s="15" t="n"/>
      <c r="S116" s="14" t="n"/>
      <c r="T116" s="13"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n"/>
      <c r="AP116" s="12" t="n"/>
      <c r="AQ116" s="12" t="n"/>
      <c r="AR116" s="12" t="n"/>
      <c r="AS116" s="12" t="n"/>
      <c r="AT116" s="12" t="n"/>
      <c r="AU116" s="12" t="n"/>
      <c r="AV116" s="11" t="n"/>
      <c r="AW116" s="10" t="n"/>
      <c r="AX116" s="9" t="n"/>
      <c r="AY116" s="9" t="n"/>
      <c r="AZ116" s="9" t="n"/>
      <c r="BA116" s="9" t="n"/>
      <c r="BB116" s="9" t="n"/>
      <c r="BC116" s="9" t="n"/>
      <c r="BD116" s="8" t="n"/>
      <c r="BE116" s="7" t="n"/>
      <c r="BF116" s="7" t="n"/>
      <c r="BG116" s="7" t="n"/>
    </row>
    <row r="117" ht="19.5" customHeight="1">
      <c r="B117" s="4" t="n"/>
      <c r="C117" s="4" t="n"/>
      <c r="D117" s="4" t="n"/>
      <c r="E117" s="3" t="n"/>
      <c r="F117" s="3" t="n"/>
      <c r="G117" s="3" t="n"/>
      <c r="H117" s="3" t="n"/>
      <c r="I117" s="3" t="n"/>
      <c r="J117" s="3" t="n"/>
      <c r="K117" s="3" t="n"/>
      <c r="L117" s="3" t="n"/>
      <c r="M117" s="3" t="n"/>
      <c r="N117" s="3" t="n"/>
      <c r="O117" s="3" t="n"/>
      <c r="P117" s="3" t="n"/>
      <c r="Q117" s="3" t="n"/>
      <c r="R117" s="3" t="n"/>
      <c r="S117" s="3" t="n"/>
      <c r="T117" s="5" t="n"/>
      <c r="U117" s="5" t="n"/>
      <c r="V117" s="5" t="n"/>
      <c r="W117" s="5" t="n"/>
      <c r="X117" s="5" t="n"/>
      <c r="Y117" s="5" t="n"/>
      <c r="Z117" s="5" t="n"/>
      <c r="AA117" s="5" t="n"/>
      <c r="AB117" s="5" t="n"/>
      <c r="AC117" s="5" t="n"/>
      <c r="AD117" s="5" t="n"/>
      <c r="AE117" s="5" t="n"/>
      <c r="AF117" s="5" t="n"/>
      <c r="AG117" s="5" t="n"/>
      <c r="AH117" s="5" t="n"/>
      <c r="AI117" s="5" t="n"/>
      <c r="AJ117" s="5" t="n"/>
      <c r="AK117" s="5" t="n"/>
      <c r="AL117" s="5" t="n"/>
      <c r="AM117" s="5" t="n"/>
      <c r="AN117" s="5" t="n"/>
      <c r="AO117" s="5" t="n"/>
      <c r="AP117" s="5" t="n"/>
      <c r="AQ117" s="5" t="n"/>
      <c r="AR117" s="5" t="n"/>
      <c r="AS117" s="5" t="n"/>
      <c r="AT117" s="5" t="n"/>
      <c r="AU117" s="5" t="n"/>
      <c r="AV117" s="5" t="n"/>
    </row>
    <row r="118" ht="19.5" customHeight="1">
      <c r="B118" s="4" t="n"/>
      <c r="C118" s="4" t="n"/>
      <c r="D118" s="4" t="n"/>
      <c r="E118" s="3" t="n"/>
      <c r="F118" s="3" t="n"/>
      <c r="G118" s="3" t="n"/>
      <c r="H118" s="3" t="n"/>
      <c r="I118" s="3" t="n"/>
      <c r="J118" s="3" t="n"/>
      <c r="K118" s="3" t="n"/>
      <c r="L118" s="3" t="n"/>
      <c r="M118" s="3" t="n"/>
      <c r="N118" s="3" t="n"/>
      <c r="O118" s="3" t="n"/>
      <c r="P118" s="3" t="n"/>
      <c r="Q118" s="3" t="n"/>
      <c r="R118" s="3" t="n"/>
      <c r="S118" s="3" t="n"/>
      <c r="T118" s="5" t="n"/>
      <c r="U118" s="5" t="n"/>
      <c r="V118" s="5" t="n"/>
      <c r="W118" s="5" t="n"/>
      <c r="X118" s="5" t="n"/>
      <c r="Y118" s="5" t="n"/>
      <c r="Z118" s="5" t="n"/>
      <c r="AA118" s="5" t="n"/>
      <c r="AB118" s="5" t="n"/>
      <c r="AC118" s="5" t="n"/>
      <c r="AD118" s="5" t="n"/>
      <c r="AE118" s="5" t="n"/>
      <c r="AF118" s="5" t="n"/>
      <c r="AG118" s="5" t="n"/>
      <c r="AH118" s="5" t="n"/>
      <c r="AI118" s="5" t="n"/>
      <c r="AJ118" s="5" t="n"/>
      <c r="AK118" s="5" t="n"/>
      <c r="AL118" s="5" t="n"/>
      <c r="AM118" s="5" t="n"/>
      <c r="AN118" s="5" t="n"/>
      <c r="AO118" s="5" t="n"/>
      <c r="AP118" s="5" t="n"/>
      <c r="AQ118" s="5" t="n"/>
      <c r="AR118" s="5" t="n"/>
      <c r="AS118" s="5" t="n"/>
      <c r="AT118" s="5" t="n"/>
      <c r="AU118" s="5" t="n"/>
      <c r="AV118" s="5" t="n"/>
    </row>
    <row r="119" ht="19.5" customHeight="1">
      <c r="B119" s="4" t="n"/>
      <c r="C119" s="4" t="n"/>
      <c r="D119" s="4" t="n"/>
      <c r="E119" s="3" t="n"/>
      <c r="F119" s="3" t="n"/>
      <c r="G119" s="3" t="n"/>
      <c r="H119" s="3" t="n"/>
      <c r="I119" s="3" t="n"/>
      <c r="J119" s="3" t="n"/>
      <c r="K119" s="3" t="n"/>
      <c r="L119" s="3" t="n"/>
      <c r="M119" s="3" t="n"/>
      <c r="N119" s="3" t="n"/>
      <c r="O119" s="3" t="n"/>
      <c r="P119" s="3" t="n"/>
      <c r="Q119" s="3" t="n"/>
      <c r="R119" s="3" t="n"/>
      <c r="S119" s="3" t="n"/>
      <c r="T119" s="5" t="n"/>
      <c r="U119" s="5" t="n"/>
      <c r="V119" s="5" t="n"/>
      <c r="W119" s="5" t="n"/>
      <c r="X119" s="5" t="n"/>
      <c r="Y119" s="5" t="n"/>
      <c r="Z119" s="5" t="n"/>
      <c r="AA119" s="5" t="n"/>
      <c r="AB119" s="5" t="n"/>
      <c r="AC119" s="5" t="n"/>
      <c r="AD119" s="5" t="n"/>
      <c r="AE119" s="5" t="n"/>
      <c r="AF119" s="5" t="n"/>
      <c r="AG119" s="5" t="n"/>
      <c r="AH119" s="5" t="n"/>
      <c r="AI119" s="5" t="n"/>
      <c r="AJ119" s="5" t="n"/>
      <c r="AK119" s="5" t="n"/>
      <c r="AL119" s="5" t="n"/>
      <c r="AM119" s="5" t="n"/>
      <c r="AN119" s="5" t="n"/>
      <c r="AO119" s="5" t="n"/>
      <c r="AP119" s="5" t="n"/>
      <c r="AQ119" s="5" t="n"/>
      <c r="AR119" s="5" t="n"/>
      <c r="AS119" s="5" t="n"/>
      <c r="AT119" s="5" t="n"/>
      <c r="AU119" s="5" t="n"/>
      <c r="AV119" s="5" t="n"/>
    </row>
    <row r="120" ht="19.5" customHeight="1">
      <c r="B120" s="4" t="n"/>
      <c r="C120" s="4" t="n"/>
      <c r="D120" s="4" t="n"/>
      <c r="E120" s="3" t="n"/>
      <c r="F120" s="3" t="n"/>
      <c r="G120" s="3" t="n"/>
      <c r="H120" s="3" t="n"/>
      <c r="I120" s="3" t="n"/>
      <c r="J120" s="3" t="n"/>
      <c r="K120" s="3" t="n"/>
      <c r="L120" s="3" t="n"/>
      <c r="M120" s="3" t="n"/>
      <c r="N120" s="3" t="n"/>
      <c r="O120" s="3" t="n"/>
      <c r="P120" s="3" t="n"/>
      <c r="Q120" s="3" t="n"/>
      <c r="R120" s="3" t="n"/>
      <c r="S120" s="3" t="n"/>
      <c r="T120" s="5" t="n"/>
      <c r="U120" s="5" t="n"/>
      <c r="V120" s="5" t="n"/>
      <c r="W120" s="5" t="n"/>
      <c r="X120" s="5" t="n"/>
      <c r="Y120" s="5" t="n"/>
      <c r="Z120" s="5" t="n"/>
      <c r="AA120" s="5" t="n"/>
      <c r="AB120" s="5" t="n"/>
      <c r="AC120" s="5" t="n"/>
      <c r="AD120" s="5" t="n"/>
      <c r="AE120" s="5" t="n"/>
      <c r="AF120" s="5" t="n"/>
      <c r="AG120" s="5" t="n"/>
      <c r="AH120" s="5" t="n"/>
      <c r="AI120" s="5" t="n"/>
      <c r="AJ120" s="5" t="n"/>
      <c r="AK120" s="5" t="n"/>
      <c r="AL120" s="5" t="n"/>
      <c r="AM120" s="5" t="n"/>
      <c r="AN120" s="5" t="n"/>
      <c r="AO120" s="5" t="n"/>
      <c r="AP120" s="5" t="n"/>
      <c r="AQ120" s="5" t="n"/>
      <c r="AR120" s="5" t="n"/>
      <c r="AS120" s="5" t="n"/>
      <c r="AT120" s="5" t="n"/>
      <c r="AU120" s="5" t="n"/>
      <c r="AV120" s="5" t="n"/>
    </row>
    <row r="121" ht="19.5" customHeight="1">
      <c r="B121" s="4" t="n"/>
      <c r="C121" s="4" t="n"/>
      <c r="D121" s="4" t="n"/>
      <c r="E121" s="6" t="n"/>
      <c r="F121" s="6" t="n"/>
      <c r="G121" s="6" t="n"/>
      <c r="H121" s="6" t="n"/>
      <c r="I121" s="6" t="n"/>
      <c r="J121" s="6" t="n"/>
      <c r="K121" s="6" t="n"/>
      <c r="L121" s="6" t="n"/>
      <c r="M121" s="6" t="n"/>
      <c r="N121" s="6" t="n"/>
      <c r="O121" s="6" t="n"/>
      <c r="P121" s="6" t="n"/>
      <c r="Q121" s="6" t="n"/>
      <c r="R121" s="6" t="n"/>
      <c r="S121" s="3" t="n"/>
      <c r="T121" s="5" t="n"/>
      <c r="U121" s="5" t="n"/>
      <c r="V121" s="5" t="n"/>
      <c r="W121" s="5" t="n"/>
      <c r="X121" s="5" t="n"/>
      <c r="Y121" s="5" t="n"/>
      <c r="Z121" s="5" t="n"/>
      <c r="AA121" s="5" t="n"/>
      <c r="AB121" s="5" t="n"/>
      <c r="AC121" s="5" t="n"/>
      <c r="AD121" s="5" t="n"/>
      <c r="AE121" s="5" t="n"/>
      <c r="AF121" s="5" t="n"/>
      <c r="AG121" s="5" t="n"/>
      <c r="AH121" s="5" t="n"/>
      <c r="AI121" s="5" t="n"/>
      <c r="AJ121" s="5" t="n"/>
      <c r="AK121" s="5" t="n"/>
      <c r="AL121" s="5" t="n"/>
      <c r="AM121" s="5" t="n"/>
      <c r="AN121" s="5" t="n"/>
      <c r="AO121" s="5" t="n"/>
      <c r="AP121" s="5" t="n"/>
      <c r="AQ121" s="5" t="n"/>
      <c r="AR121" s="5" t="n"/>
      <c r="AS121" s="5" t="n"/>
      <c r="AT121" s="5" t="n"/>
      <c r="AU121" s="5" t="n"/>
      <c r="AV121" s="5" t="n"/>
    </row>
    <row r="122" ht="19.5" customHeight="1">
      <c r="B122" s="4" t="n"/>
      <c r="C122" s="4" t="n"/>
      <c r="D122" s="4" t="n"/>
      <c r="E122" s="3" t="n"/>
      <c r="F122" s="3" t="n"/>
      <c r="G122" s="3" t="n"/>
      <c r="H122" s="3" t="n"/>
      <c r="I122" s="3" t="n"/>
      <c r="J122" s="3" t="n"/>
      <c r="K122" s="3" t="n"/>
      <c r="L122" s="3" t="n"/>
      <c r="M122" s="3" t="n"/>
      <c r="N122" s="3" t="n"/>
      <c r="O122" s="3" t="n"/>
      <c r="P122" s="3" t="n"/>
      <c r="Q122" s="3" t="n"/>
      <c r="R122" s="3" t="n"/>
      <c r="S122" s="3" t="n"/>
      <c r="T122" s="5" t="n"/>
      <c r="U122" s="5" t="n"/>
      <c r="V122" s="5" t="n"/>
      <c r="W122" s="5" t="n"/>
      <c r="X122" s="5" t="n"/>
      <c r="Y122" s="5" t="n"/>
      <c r="Z122" s="5" t="n"/>
      <c r="AA122" s="5" t="n"/>
      <c r="AB122" s="5" t="n"/>
      <c r="AC122" s="5" t="n"/>
      <c r="AD122" s="5" t="n"/>
      <c r="AE122" s="5" t="n"/>
      <c r="AF122" s="5" t="n"/>
      <c r="AG122" s="5" t="n"/>
      <c r="AH122" s="5" t="n"/>
      <c r="AI122" s="5" t="n"/>
      <c r="AJ122" s="5" t="n"/>
      <c r="AK122" s="5" t="n"/>
      <c r="AL122" s="5" t="n"/>
      <c r="AM122" s="5" t="n"/>
      <c r="AN122" s="5" t="n"/>
      <c r="AO122" s="5" t="n"/>
      <c r="AP122" s="5" t="n"/>
      <c r="AQ122" s="5" t="n"/>
      <c r="AR122" s="5" t="n"/>
      <c r="AS122" s="5" t="n"/>
      <c r="AT122" s="5" t="n"/>
      <c r="AU122" s="5" t="n"/>
      <c r="AV122" s="5" t="n"/>
    </row>
    <row r="123" ht="19.5" customHeight="1">
      <c r="B123" s="4" t="n"/>
      <c r="C123" s="4" t="n"/>
      <c r="D123" s="4" t="n"/>
      <c r="E123" s="6" t="n"/>
      <c r="F123" s="6" t="n"/>
      <c r="G123" s="6" t="n"/>
      <c r="H123" s="6" t="n"/>
      <c r="I123" s="6" t="n"/>
      <c r="J123" s="6" t="n"/>
      <c r="K123" s="6" t="n"/>
      <c r="L123" s="6" t="n"/>
      <c r="M123" s="6" t="n"/>
      <c r="N123" s="6" t="n"/>
      <c r="O123" s="6" t="n"/>
      <c r="P123" s="6" t="n"/>
      <c r="Q123" s="6" t="n"/>
      <c r="R123" s="6" t="n"/>
      <c r="S123" s="3" t="n"/>
      <c r="T123" s="5" t="n"/>
      <c r="U123" s="5" t="n"/>
      <c r="V123" s="5" t="n"/>
      <c r="W123" s="5" t="n"/>
      <c r="X123" s="5" t="n"/>
      <c r="Y123" s="5" t="n"/>
      <c r="Z123" s="5" t="n"/>
      <c r="AA123" s="5" t="n"/>
      <c r="AB123" s="5" t="n"/>
      <c r="AC123" s="5" t="n"/>
      <c r="AD123" s="5" t="n"/>
      <c r="AE123" s="5" t="n"/>
      <c r="AF123" s="5" t="n"/>
      <c r="AG123" s="5" t="n"/>
      <c r="AH123" s="5" t="n"/>
      <c r="AI123" s="5" t="n"/>
      <c r="AJ123" s="5" t="n"/>
      <c r="AK123" s="5" t="n"/>
      <c r="AL123" s="5" t="n"/>
      <c r="AM123" s="5" t="n"/>
      <c r="AN123" s="5" t="n"/>
      <c r="AO123" s="5" t="n"/>
      <c r="AP123" s="5" t="n"/>
      <c r="AQ123" s="5" t="n"/>
      <c r="AR123" s="5" t="n"/>
      <c r="AS123" s="5" t="n"/>
      <c r="AT123" s="5" t="n"/>
      <c r="AU123" s="5" t="n"/>
      <c r="AV123" s="5" t="n"/>
    </row>
    <row r="124" ht="19.5" customHeight="1">
      <c r="B124" s="4" t="n"/>
      <c r="C124" s="4" t="n"/>
      <c r="D124" s="4" t="n"/>
      <c r="E124" s="6" t="n"/>
      <c r="F124" s="6" t="n"/>
      <c r="G124" s="6" t="n"/>
      <c r="H124" s="6" t="n"/>
      <c r="I124" s="6" t="n"/>
      <c r="J124" s="6" t="n"/>
      <c r="K124" s="6" t="n"/>
      <c r="L124" s="6" t="n"/>
      <c r="M124" s="6" t="n"/>
      <c r="N124" s="6" t="n"/>
      <c r="O124" s="6" t="n"/>
      <c r="P124" s="6" t="n"/>
      <c r="Q124" s="6" t="n"/>
      <c r="R124" s="6" t="n"/>
      <c r="S124" s="3" t="n"/>
      <c r="T124" s="5" t="n"/>
      <c r="U124" s="5" t="n"/>
      <c r="V124" s="5" t="n"/>
      <c r="W124" s="5" t="n"/>
      <c r="X124" s="5" t="n"/>
      <c r="Y124" s="5" t="n"/>
      <c r="Z124" s="5" t="n"/>
      <c r="AA124" s="5" t="n"/>
      <c r="AB124" s="5" t="n"/>
      <c r="AC124" s="5" t="n"/>
      <c r="AD124" s="5" t="n"/>
      <c r="AE124" s="5" t="n"/>
      <c r="AF124" s="5" t="n"/>
      <c r="AG124" s="5" t="n"/>
      <c r="AH124" s="5" t="n"/>
      <c r="AI124" s="5" t="n"/>
      <c r="AJ124" s="5" t="n"/>
      <c r="AK124" s="5" t="n"/>
      <c r="AL124" s="5" t="n"/>
      <c r="AM124" s="5" t="n"/>
      <c r="AN124" s="5" t="n"/>
      <c r="AO124" s="5" t="n"/>
      <c r="AP124" s="5" t="n"/>
      <c r="AQ124" s="5" t="n"/>
      <c r="AR124" s="5" t="n"/>
      <c r="AS124" s="5" t="n"/>
      <c r="AT124" s="5" t="n"/>
      <c r="AU124" s="5" t="n"/>
      <c r="AV124" s="5" t="n"/>
    </row>
    <row r="125" ht="19.5" customHeight="1">
      <c r="B125" s="4" t="n"/>
      <c r="C125" s="4" t="n"/>
      <c r="D125" s="4" t="n"/>
      <c r="E125" s="6" t="n"/>
      <c r="F125" s="6" t="n"/>
      <c r="G125" s="6" t="n"/>
      <c r="H125" s="6" t="n"/>
      <c r="I125" s="6" t="n"/>
      <c r="J125" s="6" t="n"/>
      <c r="K125" s="6" t="n"/>
      <c r="L125" s="6" t="n"/>
      <c r="M125" s="6" t="n"/>
      <c r="N125" s="6" t="n"/>
      <c r="O125" s="6" t="n"/>
      <c r="P125" s="6" t="n"/>
      <c r="Q125" s="6" t="n"/>
      <c r="R125" s="6" t="n"/>
      <c r="S125" s="3" t="n"/>
      <c r="T125" s="5" t="n"/>
      <c r="U125" s="5" t="n"/>
      <c r="V125" s="5" t="n"/>
      <c r="W125" s="5" t="n"/>
      <c r="X125" s="5" t="n"/>
      <c r="Y125" s="5" t="n"/>
      <c r="Z125" s="5" t="n"/>
      <c r="AA125" s="5" t="n"/>
      <c r="AB125" s="5" t="n"/>
      <c r="AC125" s="5" t="n"/>
      <c r="AD125" s="5" t="n"/>
      <c r="AE125" s="5" t="n"/>
      <c r="AF125" s="5" t="n"/>
      <c r="AG125" s="5" t="n"/>
      <c r="AH125" s="5" t="n"/>
      <c r="AI125" s="5" t="n"/>
      <c r="AJ125" s="5" t="n"/>
      <c r="AK125" s="5" t="n"/>
      <c r="AL125" s="5" t="n"/>
      <c r="AM125" s="5" t="n"/>
      <c r="AN125" s="5" t="n"/>
      <c r="AO125" s="5" t="n"/>
      <c r="AP125" s="5" t="n"/>
      <c r="AQ125" s="5" t="n"/>
      <c r="AR125" s="5" t="n"/>
      <c r="AS125" s="5" t="n"/>
      <c r="AT125" s="5" t="n"/>
      <c r="AU125" s="5" t="n"/>
      <c r="AV125" s="5" t="n"/>
    </row>
    <row r="126" ht="19.5" customHeight="1">
      <c r="B126" s="4" t="n"/>
      <c r="C126" s="4" t="n"/>
      <c r="D126" s="4" t="n"/>
      <c r="E126" s="6" t="n"/>
      <c r="F126" s="6" t="n"/>
      <c r="G126" s="6" t="n"/>
      <c r="H126" s="6" t="n"/>
      <c r="I126" s="6" t="n"/>
      <c r="J126" s="6" t="n"/>
      <c r="K126" s="6" t="n"/>
      <c r="L126" s="6" t="n"/>
      <c r="M126" s="6" t="n"/>
      <c r="N126" s="6" t="n"/>
      <c r="O126" s="6" t="n"/>
      <c r="P126" s="6" t="n"/>
      <c r="Q126" s="6" t="n"/>
      <c r="R126" s="6" t="n"/>
      <c r="S126" s="3" t="n"/>
      <c r="T126" s="5" t="n"/>
      <c r="U126" s="5" t="n"/>
      <c r="V126" s="5" t="n"/>
      <c r="W126" s="5" t="n"/>
      <c r="X126" s="5" t="n"/>
      <c r="Y126" s="5" t="n"/>
      <c r="Z126" s="5" t="n"/>
      <c r="AA126" s="5" t="n"/>
      <c r="AB126" s="5" t="n"/>
      <c r="AC126" s="5" t="n"/>
      <c r="AD126" s="5" t="n"/>
      <c r="AE126" s="5" t="n"/>
      <c r="AF126" s="5" t="n"/>
      <c r="AG126" s="5" t="n"/>
      <c r="AH126" s="5" t="n"/>
      <c r="AI126" s="5" t="n"/>
      <c r="AJ126" s="5" t="n"/>
      <c r="AK126" s="5" t="n"/>
      <c r="AL126" s="5" t="n"/>
      <c r="AM126" s="5" t="n"/>
      <c r="AN126" s="5" t="n"/>
      <c r="AO126" s="5" t="n"/>
      <c r="AP126" s="5" t="n"/>
      <c r="AQ126" s="5" t="n"/>
      <c r="AR126" s="5" t="n"/>
      <c r="AS126" s="5" t="n"/>
      <c r="AT126" s="5" t="n"/>
      <c r="AU126" s="5" t="n"/>
      <c r="AV126" s="5" t="n"/>
    </row>
    <row r="127" ht="19.5" customHeight="1">
      <c r="B127" s="4" t="n"/>
      <c r="C127" s="4" t="n"/>
      <c r="D127" s="4" t="n"/>
      <c r="E127" s="6" t="n"/>
      <c r="F127" s="6" t="n"/>
      <c r="G127" s="6" t="n"/>
      <c r="H127" s="6" t="n"/>
      <c r="I127" s="6" t="n"/>
      <c r="J127" s="6" t="n"/>
      <c r="K127" s="6" t="n"/>
      <c r="L127" s="6" t="n"/>
      <c r="M127" s="6" t="n"/>
      <c r="N127" s="6" t="n"/>
      <c r="O127" s="6" t="n"/>
      <c r="P127" s="6" t="n"/>
      <c r="Q127" s="6" t="n"/>
      <c r="R127" s="6" t="n"/>
      <c r="S127" s="3" t="n"/>
      <c r="T127" s="5" t="n"/>
      <c r="U127" s="5" t="n"/>
      <c r="V127" s="5" t="n"/>
      <c r="W127" s="5" t="n"/>
      <c r="X127" s="5" t="n"/>
      <c r="Y127" s="5" t="n"/>
      <c r="Z127" s="5" t="n"/>
      <c r="AA127" s="5" t="n"/>
      <c r="AB127" s="5" t="n"/>
      <c r="AC127" s="5" t="n"/>
      <c r="AD127" s="5" t="n"/>
      <c r="AE127" s="5" t="n"/>
      <c r="AF127" s="5" t="n"/>
      <c r="AG127" s="5" t="n"/>
      <c r="AH127" s="5" t="n"/>
      <c r="AI127" s="5" t="n"/>
      <c r="AJ127" s="5" t="n"/>
      <c r="AK127" s="5" t="n"/>
      <c r="AL127" s="5" t="n"/>
      <c r="AM127" s="5" t="n"/>
      <c r="AN127" s="5" t="n"/>
      <c r="AO127" s="5" t="n"/>
      <c r="AP127" s="5" t="n"/>
      <c r="AQ127" s="5" t="n"/>
      <c r="AR127" s="5" t="n"/>
      <c r="AS127" s="5" t="n"/>
      <c r="AT127" s="5" t="n"/>
      <c r="AU127" s="5" t="n"/>
      <c r="AV127" s="5" t="n"/>
    </row>
    <row r="128" ht="19.5" customHeight="1">
      <c r="B128" s="4" t="n"/>
      <c r="C128" s="4" t="n"/>
      <c r="D128" s="4" t="n"/>
      <c r="E128" s="6" t="n"/>
      <c r="F128" s="6" t="n"/>
      <c r="G128" s="6" t="n"/>
      <c r="H128" s="6" t="n"/>
      <c r="I128" s="6" t="n"/>
      <c r="J128" s="6" t="n"/>
      <c r="K128" s="6" t="n"/>
      <c r="L128" s="6" t="n"/>
      <c r="M128" s="6" t="n"/>
      <c r="N128" s="6" t="n"/>
      <c r="O128" s="6" t="n"/>
      <c r="P128" s="6" t="n"/>
      <c r="Q128" s="6" t="n"/>
      <c r="R128" s="6" t="n"/>
      <c r="S128" s="3" t="n"/>
      <c r="T128" s="5" t="n"/>
      <c r="U128" s="5" t="n"/>
      <c r="V128" s="5" t="n"/>
      <c r="W128" s="5" t="n"/>
      <c r="X128" s="5" t="n"/>
      <c r="Y128" s="5" t="n"/>
      <c r="Z128" s="5" t="n"/>
      <c r="AA128" s="5" t="n"/>
      <c r="AB128" s="5" t="n"/>
      <c r="AC128" s="5" t="n"/>
      <c r="AD128" s="5" t="n"/>
      <c r="AE128" s="5" t="n"/>
      <c r="AF128" s="5" t="n"/>
      <c r="AG128" s="5" t="n"/>
      <c r="AH128" s="5" t="n"/>
      <c r="AI128" s="5" t="n"/>
      <c r="AJ128" s="5" t="n"/>
      <c r="AK128" s="5" t="n"/>
      <c r="AL128" s="5" t="n"/>
      <c r="AM128" s="5" t="n"/>
      <c r="AN128" s="5" t="n"/>
      <c r="AO128" s="5" t="n"/>
      <c r="AP128" s="5" t="n"/>
      <c r="AQ128" s="5" t="n"/>
      <c r="AR128" s="5" t="n"/>
      <c r="AS128" s="5" t="n"/>
      <c r="AT128" s="5" t="n"/>
      <c r="AU128" s="5" t="n"/>
      <c r="AV128" s="5" t="n"/>
    </row>
    <row r="129" ht="19.5" customHeight="1">
      <c r="B129" s="4" t="n"/>
      <c r="C129" s="4" t="n"/>
      <c r="D129" s="4" t="n"/>
      <c r="E129" s="3" t="n"/>
      <c r="F129" s="3" t="n"/>
      <c r="G129" s="3" t="n"/>
      <c r="H129" s="3" t="n"/>
      <c r="I129" s="3" t="n"/>
      <c r="J129" s="3" t="n"/>
      <c r="K129" s="3" t="n"/>
      <c r="L129" s="3" t="n"/>
      <c r="M129" s="3" t="n"/>
      <c r="N129" s="3" t="n"/>
      <c r="O129" s="3" t="n"/>
      <c r="P129" s="3" t="n"/>
      <c r="Q129" s="3" t="n"/>
      <c r="R129" s="3" t="n"/>
      <c r="S129" s="3" t="n"/>
      <c r="T129" s="5" t="n"/>
      <c r="U129" s="5" t="n"/>
      <c r="V129" s="5" t="n"/>
      <c r="W129" s="5" t="n"/>
      <c r="X129" s="5" t="n"/>
      <c r="Y129" s="5" t="n"/>
      <c r="Z129" s="5" t="n"/>
      <c r="AA129" s="5" t="n"/>
      <c r="AB129" s="5" t="n"/>
      <c r="AC129" s="5" t="n"/>
      <c r="AD129" s="5" t="n"/>
      <c r="AE129" s="5" t="n"/>
      <c r="AF129" s="5" t="n"/>
      <c r="AG129" s="5" t="n"/>
      <c r="AH129" s="5" t="n"/>
      <c r="AI129" s="5" t="n"/>
      <c r="AJ129" s="5" t="n"/>
      <c r="AK129" s="5" t="n"/>
      <c r="AL129" s="5" t="n"/>
      <c r="AM129" s="5" t="n"/>
      <c r="AN129" s="5" t="n"/>
      <c r="AO129" s="5" t="n"/>
      <c r="AP129" s="5" t="n"/>
      <c r="AQ129" s="5" t="n"/>
      <c r="AR129" s="5" t="n"/>
      <c r="AS129" s="5" t="n"/>
      <c r="AT129" s="5" t="n"/>
      <c r="AU129" s="5" t="n"/>
      <c r="AV129" s="5" t="n"/>
    </row>
    <row r="130" ht="19.5" customHeight="1">
      <c r="B130" s="4" t="n"/>
      <c r="C130" s="4" t="n"/>
      <c r="D130" s="4" t="n"/>
      <c r="E130" s="3" t="n"/>
      <c r="F130" s="3" t="n"/>
      <c r="G130" s="3" t="n"/>
      <c r="H130" s="3" t="n"/>
      <c r="I130" s="3" t="n"/>
      <c r="J130" s="3" t="n"/>
      <c r="K130" s="3" t="n"/>
      <c r="L130" s="3" t="n"/>
      <c r="M130" s="3" t="n"/>
      <c r="N130" s="3" t="n"/>
      <c r="O130" s="3" t="n"/>
      <c r="P130" s="3" t="n"/>
      <c r="Q130" s="3" t="n"/>
      <c r="R130" s="3" t="n"/>
      <c r="S130" s="3" t="n"/>
    </row>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sheetData>
  <mergeCells count="5">
    <mergeCell ref="O16:AS16"/>
    <mergeCell ref="A15:BE15"/>
    <mergeCell ref="BE16:BG16"/>
    <mergeCell ref="AV16:BD16"/>
    <mergeCell ref="A16:N16"/>
  </mergeCells>
  <dataValidations count="7">
    <dataValidation sqref="N18:N116" showDropDown="0" showInputMessage="1" showErrorMessage="1" allowBlank="1" type="list">
      <formula1>$N$2:$N$5</formula1>
    </dataValidation>
    <dataValidation sqref="AV18:AV116" showDropDown="0" showInputMessage="1" showErrorMessage="1" allowBlank="1" type="list">
      <formula1>$AV$2:$AV$3</formula1>
    </dataValidation>
    <dataValidation sqref="H18:H116" showDropDown="0" showInputMessage="1" showErrorMessage="1" allowBlank="1" type="list">
      <formula1>$H$2:$H$3</formula1>
    </dataValidation>
    <dataValidation sqref="P18:P116" showDropDown="0" showInputMessage="1" showErrorMessage="1" allowBlank="1" type="list">
      <formula1>$P$2:$P$4</formula1>
    </dataValidation>
    <dataValidation sqref="O18:O116" showDropDown="0" showInputMessage="1" showErrorMessage="1" allowBlank="1" type="list">
      <formula1>$O$2:$O$3</formula1>
    </dataValidation>
    <dataValidation sqref="Q18:Q116" showDropDown="0" showInputMessage="1" showErrorMessage="1" allowBlank="1" type="list">
      <formula1>$Q$2:$Q$3</formula1>
    </dataValidation>
    <dataValidation sqref="AW18:AW116" showDropDown="0" showInputMessage="1" showErrorMessage="1" allowBlank="1" type="list">
      <formula1>$AW$2:$AW$6</formula1>
    </dataValidation>
  </dataValidations>
  <printOptions horizontalCentered="1"/>
  <pageMargins left="0" right="0" top="0" bottom="0" header="0" footer="0"/>
  <pageSetup orientation="portrait" scale="13"/>
</worksheet>
</file>

<file path=xl/worksheets/sheet2.xml><?xml version="1.0" encoding="utf-8"?>
<worksheet xmlns="http://schemas.openxmlformats.org/spreadsheetml/2006/main">
  <sheetPr>
    <outlinePr summaryBelow="1" summaryRight="1"/>
    <pageSetUpPr/>
  </sheetPr>
  <dimension ref="A1:C58"/>
  <sheetViews>
    <sheetView workbookViewId="0">
      <selection activeCell="A20" sqref="A20"/>
    </sheetView>
  </sheetViews>
  <sheetFormatPr baseColWidth="8" defaultColWidth="10.6640625" defaultRowHeight="14"/>
  <cols>
    <col width="45.1640625" bestFit="1" customWidth="1" min="1" max="1"/>
    <col width="10" bestFit="1" customWidth="1" min="2" max="2"/>
    <col width="161.6640625" bestFit="1" customWidth="1" min="3" max="3"/>
  </cols>
  <sheetData>
    <row r="1">
      <c r="A1" s="47" t="inlineStr">
        <is>
          <t>Census Workbook Header</t>
        </is>
      </c>
      <c r="B1" s="48" t="inlineStr">
        <is>
          <t>Data Type</t>
        </is>
      </c>
      <c r="C1" s="48" t="inlineStr">
        <is>
          <t>Description of Column</t>
        </is>
      </c>
    </row>
    <row r="2">
      <c r="A2" s="49" t="inlineStr">
        <is>
          <t>Employee Code</t>
        </is>
      </c>
      <c r="B2" s="50" t="inlineStr">
        <is>
          <t>Text</t>
        </is>
      </c>
      <c r="C2" s="51" t="inlineStr">
        <is>
          <t>Unique identifier issued by the acquisition target company for each employee.</t>
        </is>
      </c>
    </row>
    <row r="3">
      <c r="A3" s="49" t="inlineStr">
        <is>
          <t>Employee Date of Birth</t>
        </is>
      </c>
      <c r="B3" s="50" t="inlineStr">
        <is>
          <t>Date</t>
        </is>
      </c>
      <c r="C3" s="51" t="inlineStr">
        <is>
          <t>Date of Birth for relevant employee.</t>
        </is>
      </c>
    </row>
    <row r="4">
      <c r="A4" s="49" t="inlineStr">
        <is>
          <t>Reporting Gender</t>
        </is>
      </c>
      <c r="B4" s="50" t="inlineStr">
        <is>
          <t>Text</t>
        </is>
      </c>
      <c r="C4" s="51" t="inlineStr">
        <is>
          <t>Self-identified gender to the acquisition target in onboarding documents.</t>
        </is>
      </c>
    </row>
    <row r="5">
      <c r="A5" s="49" t="inlineStr">
        <is>
          <t>Employee State of Residence</t>
        </is>
      </c>
      <c r="B5" s="50" t="inlineStr">
        <is>
          <t>Text</t>
        </is>
      </c>
      <c r="C5" s="51" t="inlineStr">
        <is>
          <t>The state where the employees principal residence is located.</t>
        </is>
      </c>
    </row>
    <row r="6">
      <c r="A6" s="49" t="inlineStr">
        <is>
          <t>Employee Zip Code of Residence</t>
        </is>
      </c>
      <c r="B6" s="50" t="inlineStr">
        <is>
          <t>Text</t>
        </is>
      </c>
      <c r="C6" s="51" t="inlineStr">
        <is>
          <t>Zip Code for the employee's principal residence.</t>
        </is>
      </c>
    </row>
    <row r="7">
      <c r="A7" s="49" t="inlineStr">
        <is>
          <t>Work State</t>
        </is>
      </c>
      <c r="B7" s="50" t="inlineStr">
        <is>
          <t>Text</t>
        </is>
      </c>
      <c r="C7" s="51" t="inlineStr">
        <is>
          <t>The state where the employee works (particularly relevant if acquisition target has multiple offices.</t>
        </is>
      </c>
    </row>
    <row r="8">
      <c r="A8" s="49" t="inlineStr">
        <is>
          <t>SOC Code</t>
        </is>
      </c>
      <c r="B8" s="50" t="inlineStr">
        <is>
          <t>Text</t>
        </is>
      </c>
      <c r="C8" s="51" t="inlineStr">
        <is>
          <t>Please assign or confirm SOC (Standard Occupational Classification) codes for each role.</t>
        </is>
      </c>
    </row>
    <row r="9">
      <c r="A9" s="49" t="inlineStr">
        <is>
          <t>Title</t>
        </is>
      </c>
      <c r="B9" s="50" t="inlineStr">
        <is>
          <t>Text</t>
        </is>
      </c>
      <c r="C9" s="51" t="inlineStr">
        <is>
          <t>The name of the employee's role.</t>
        </is>
      </c>
    </row>
    <row r="10">
      <c r="A10" s="49" t="inlineStr">
        <is>
          <t>Department/Cost Center</t>
        </is>
      </c>
      <c r="B10" s="50" t="inlineStr">
        <is>
          <t>Text</t>
        </is>
      </c>
      <c r="C10" s="51" t="inlineStr">
        <is>
          <t>The name of the business segment where the employee of the acquisition target's work product is managed and their direct costs are tracked.</t>
        </is>
      </c>
    </row>
    <row r="11">
      <c r="A11" s="49" t="inlineStr">
        <is>
          <t>Hire Date</t>
        </is>
      </c>
      <c r="B11" s="50" t="inlineStr">
        <is>
          <t>Date</t>
        </is>
      </c>
      <c r="C11" s="51" t="inlineStr">
        <is>
          <t>The specific date, per HR records, when the employee is included in the acquisition target's payroll register.</t>
        </is>
      </c>
    </row>
    <row r="12">
      <c r="A12" s="49" t="inlineStr">
        <is>
          <t>Termination Date(s) (if applicable)</t>
        </is>
      </c>
      <c r="B12" s="50" t="inlineStr">
        <is>
          <t>Date</t>
        </is>
      </c>
      <c r="C12" s="51" t="inlineStr">
        <is>
          <t>The specific date, per HR records, when the employee was removed from the acquisition target's payroll register.</t>
        </is>
      </c>
    </row>
    <row r="13">
      <c r="A13" s="49" t="inlineStr">
        <is>
          <t>Employee Status Code</t>
        </is>
      </c>
      <c r="B13" s="53" t="inlineStr">
        <is>
          <t>[TBD]</t>
        </is>
      </c>
      <c r="C13" s="52" t="inlineStr">
        <is>
          <t>[TBD - Pending update from Nine Dean]</t>
        </is>
      </c>
    </row>
    <row r="14">
      <c r="A14" s="49" t="inlineStr">
        <is>
          <t>Exempt/Non-Exempt</t>
        </is>
      </c>
      <c r="B14" s="50" t="inlineStr">
        <is>
          <t>Text</t>
        </is>
      </c>
      <c r="C14" s="51" t="inlineStr">
        <is>
          <t>Per the Fair Labor Standards Act, the classification of an employee to determine whether they are eligible for overtime in addition to minimum wage when they work more than 40 hours per week.</t>
        </is>
      </c>
    </row>
    <row r="15">
      <c r="A15" s="49" t="inlineStr">
        <is>
          <t>Employment Classification</t>
        </is>
      </c>
      <c r="B15" s="50" t="inlineStr">
        <is>
          <t>Text</t>
        </is>
      </c>
      <c r="C15" s="51" t="inlineStr">
        <is>
          <t>[TBD - Pending update from Nine Dean]</t>
        </is>
      </c>
    </row>
    <row r="16">
      <c r="A16" s="49" t="inlineStr">
        <is>
          <t>Salaried/Hourly</t>
        </is>
      </c>
      <c r="B16" s="50" t="inlineStr">
        <is>
          <t>Text</t>
        </is>
      </c>
      <c r="C16" s="51" t="inlineStr">
        <is>
          <t>The quoted rate for the employee's labor provided in the terms of their employment arrangement.</t>
        </is>
      </c>
    </row>
    <row r="17">
      <c r="A17" s="49" t="inlineStr">
        <is>
          <t>2026 Base Salary (if salaried)</t>
        </is>
      </c>
      <c r="B17" s="50" t="inlineStr">
        <is>
          <t>Number</t>
        </is>
      </c>
      <c r="C17" s="51" t="inlineStr">
        <is>
          <t>The dollar value of the employee's compensation for the full year.</t>
        </is>
      </c>
    </row>
    <row r="18">
      <c r="A18" s="49" t="inlineStr">
        <is>
          <t>2026 Hourly Rate (if hourly)</t>
        </is>
      </c>
      <c r="B18" s="50" t="inlineStr">
        <is>
          <t>Number</t>
        </is>
      </c>
      <c r="C18" s="51" t="inlineStr">
        <is>
          <t>The dollar value of the employee's compensation per hour.</t>
        </is>
      </c>
    </row>
    <row r="19">
      <c r="A19" s="49" t="inlineStr">
        <is>
          <t>2026 Overtime Rate (if applicable)</t>
        </is>
      </c>
      <c r="B19" s="50" t="inlineStr">
        <is>
          <t>Number</t>
        </is>
      </c>
      <c r="C19" s="51" t="inlineStr">
        <is>
          <t>For nonexempt employees, the dollar value of their compensation per hour after they have worked the minimum number of hours required by their employment agreement.</t>
        </is>
      </c>
    </row>
    <row r="20">
      <c r="A20" s="49" t="inlineStr">
        <is>
          <t>Overtime Threshold (if applicable)</t>
        </is>
      </c>
      <c r="B20" s="50" t="inlineStr">
        <is>
          <t>Number</t>
        </is>
      </c>
      <c r="C20" s="51" t="inlineStr">
        <is>
          <t>[TBD - Pending update from Nine Dean]</t>
        </is>
      </c>
    </row>
    <row r="21">
      <c r="A21" s="49" t="inlineStr">
        <is>
          <t>2026 Hours (if hourly)</t>
        </is>
      </c>
      <c r="B21" s="50" t="inlineStr">
        <is>
          <t>Number</t>
        </is>
      </c>
      <c r="C21" s="51" t="inlineStr">
        <is>
          <t>Total number of hours worked during 2026</t>
        </is>
      </c>
    </row>
    <row r="22">
      <c r="A22" s="49" t="inlineStr">
        <is>
          <t>Bonus Category</t>
        </is>
      </c>
      <c r="B22" s="50" t="inlineStr">
        <is>
          <t>Text</t>
        </is>
      </c>
      <c r="C22" s="51" t="inlineStr">
        <is>
          <t>[TBD - Pending update from Nine Dean]</t>
        </is>
      </c>
    </row>
    <row r="23">
      <c r="A23" s="49" t="inlineStr">
        <is>
          <t>2026 Bonus (Not yet paid)</t>
        </is>
      </c>
      <c r="B23" s="50" t="inlineStr">
        <is>
          <t>Number</t>
        </is>
      </c>
      <c r="C23" s="51" t="inlineStr">
        <is>
          <t>Total dollar value of bonus payments earned for the employee during 2026 that has not been paid yet.</t>
        </is>
      </c>
    </row>
    <row r="24">
      <c r="A24" s="49" t="inlineStr">
        <is>
          <t>2026 Other Comp (if applicable)</t>
        </is>
      </c>
      <c r="B24" s="50" t="inlineStr">
        <is>
          <t>Number</t>
        </is>
      </c>
      <c r="C24" s="51" t="inlineStr">
        <is>
          <t>Total dollar value of other forms of compensation earned for the employee during 2026 that has not been paid yet.</t>
        </is>
      </c>
    </row>
    <row r="25">
      <c r="A25" s="49" t="inlineStr">
        <is>
          <t>2026 Total Comp (Projected)</t>
        </is>
      </c>
      <c r="B25" s="50" t="inlineStr">
        <is>
          <t>Number</t>
        </is>
      </c>
      <c r="C25" s="51" t="inlineStr">
        <is>
          <t>Total dollar value all compensation earned for the employee during 2026.</t>
        </is>
      </c>
    </row>
    <row r="26">
      <c r="A26" s="49" t="inlineStr">
        <is>
          <t>2025 Base Salary (if salaried)</t>
        </is>
      </c>
      <c r="B26" s="50" t="inlineStr">
        <is>
          <t>Number</t>
        </is>
      </c>
      <c r="C26" s="51" t="inlineStr">
        <is>
          <t>The dollar value of the employee's compensation for the full year.</t>
        </is>
      </c>
    </row>
    <row r="27">
      <c r="A27" s="49" t="inlineStr">
        <is>
          <t>2025 Hourly Rate (if hourly)</t>
        </is>
      </c>
      <c r="B27" s="50" t="inlineStr">
        <is>
          <t>Number</t>
        </is>
      </c>
      <c r="C27" s="51" t="inlineStr">
        <is>
          <t>The dollar value of the employee's compensation per hour.</t>
        </is>
      </c>
    </row>
    <row r="28">
      <c r="A28" s="49" t="inlineStr">
        <is>
          <t>2025 Overtime Rate (if applicable)</t>
        </is>
      </c>
      <c r="B28" s="50" t="inlineStr">
        <is>
          <t>Number</t>
        </is>
      </c>
      <c r="C28" s="51" t="inlineStr">
        <is>
          <t>For nonexempt employees, the dollar value of their compensation per hour after they have worked the minimum number of hours required by their employment agreement.</t>
        </is>
      </c>
    </row>
    <row r="29">
      <c r="A29" s="49" t="inlineStr">
        <is>
          <t>2025 Hours (if hourly)</t>
        </is>
      </c>
      <c r="B29" s="50" t="inlineStr">
        <is>
          <t>Number</t>
        </is>
      </c>
      <c r="C29" s="51" t="inlineStr">
        <is>
          <t>Total number of hours worked during 2025</t>
        </is>
      </c>
    </row>
    <row r="30">
      <c r="A30" s="49" t="inlineStr">
        <is>
          <t>2025 Bonus</t>
        </is>
      </c>
      <c r="B30" s="50" t="inlineStr">
        <is>
          <t>Number</t>
        </is>
      </c>
      <c r="C30" s="51" t="inlineStr">
        <is>
          <t>Total dollar value of bonus payments earned for the employee during 2025 that has not been paid yet.</t>
        </is>
      </c>
    </row>
    <row r="31">
      <c r="A31" s="49" t="inlineStr">
        <is>
          <t>2025 Other Comp (if applicable)</t>
        </is>
      </c>
      <c r="B31" s="50" t="inlineStr">
        <is>
          <t>Number</t>
        </is>
      </c>
      <c r="C31" s="51" t="inlineStr">
        <is>
          <t>Total dollar value of other forms of compensation earned for the employee during 2025 that has not been paid yet.</t>
        </is>
      </c>
    </row>
    <row r="32">
      <c r="A32" s="49" t="inlineStr">
        <is>
          <t>2025 Total Comp</t>
        </is>
      </c>
      <c r="B32" s="50" t="inlineStr">
        <is>
          <t>Number</t>
        </is>
      </c>
      <c r="C32" s="51" t="inlineStr">
        <is>
          <t>Total dollar value all compensation earned for the employee during 2025.</t>
        </is>
      </c>
    </row>
    <row r="33">
      <c r="A33" s="49" t="inlineStr">
        <is>
          <t>2024 Base Salary (if salaried)</t>
        </is>
      </c>
      <c r="B33" s="50" t="inlineStr">
        <is>
          <t>Number</t>
        </is>
      </c>
      <c r="C33" s="51" t="inlineStr">
        <is>
          <t>The dollar value of the employee's compensation for the full year.</t>
        </is>
      </c>
    </row>
    <row r="34">
      <c r="A34" s="49" t="inlineStr">
        <is>
          <t>2024 Hourly Rate (if hourly)</t>
        </is>
      </c>
      <c r="B34" s="50" t="inlineStr">
        <is>
          <t>Number</t>
        </is>
      </c>
      <c r="C34" s="51" t="inlineStr">
        <is>
          <t>The dollar value of the employee's compensation per hour.</t>
        </is>
      </c>
    </row>
    <row r="35">
      <c r="A35" s="49" t="inlineStr">
        <is>
          <t>2024 Overtime Rate (if applicable)</t>
        </is>
      </c>
      <c r="B35" s="50" t="inlineStr">
        <is>
          <t>Number</t>
        </is>
      </c>
      <c r="C35" s="51" t="inlineStr">
        <is>
          <t>For nonexempt employees, the dollar value of their compensation per hour after they have worked the minimum number of hours required by their employment agreement.</t>
        </is>
      </c>
    </row>
    <row r="36">
      <c r="A36" s="49" t="inlineStr">
        <is>
          <t>2024 Hours (if hourly)</t>
        </is>
      </c>
      <c r="B36" s="50" t="inlineStr">
        <is>
          <t>Number</t>
        </is>
      </c>
      <c r="C36" s="51" t="inlineStr">
        <is>
          <t>Total number of hours worked during 2024</t>
        </is>
      </c>
    </row>
    <row r="37">
      <c r="A37" s="49" t="inlineStr">
        <is>
          <t>2024 Bonus</t>
        </is>
      </c>
      <c r="B37" s="50" t="inlineStr">
        <is>
          <t>Number</t>
        </is>
      </c>
      <c r="C37" s="51" t="inlineStr">
        <is>
          <t>Total dollar value of bonus payments earned for the employee during 2024 that has not been paid yet.</t>
        </is>
      </c>
    </row>
    <row r="38">
      <c r="A38" s="49" t="inlineStr">
        <is>
          <t>2024 Other Comp (if applicable)</t>
        </is>
      </c>
      <c r="B38" s="50" t="inlineStr">
        <is>
          <t>Number</t>
        </is>
      </c>
      <c r="C38" s="51" t="inlineStr">
        <is>
          <t>Total dollar value of other forms of compensation earned for the employee during 2024 that has not been paid yet.</t>
        </is>
      </c>
    </row>
    <row r="39">
      <c r="A39" s="49" t="inlineStr">
        <is>
          <t>2024 Total Comp</t>
        </is>
      </c>
      <c r="B39" s="50" t="inlineStr">
        <is>
          <t>Number</t>
        </is>
      </c>
      <c r="C39" s="51" t="inlineStr">
        <is>
          <t>Total dollar value all compensation earned for the employee during 2024.</t>
        </is>
      </c>
    </row>
    <row r="40">
      <c r="A40" s="49" t="inlineStr">
        <is>
          <t>2023 Base Salary (if salaried)</t>
        </is>
      </c>
      <c r="B40" s="50" t="inlineStr">
        <is>
          <t>Number</t>
        </is>
      </c>
      <c r="C40" s="51" t="inlineStr">
        <is>
          <t>The dollar value of the employee's compensation for the full year.</t>
        </is>
      </c>
    </row>
    <row r="41">
      <c r="A41" s="49" t="inlineStr">
        <is>
          <t>2023 Hourly Rate (if hourly)</t>
        </is>
      </c>
      <c r="B41" s="50" t="inlineStr">
        <is>
          <t>Number</t>
        </is>
      </c>
      <c r="C41" s="51" t="inlineStr">
        <is>
          <t>The dollar value of the employee's compensation per hour.</t>
        </is>
      </c>
    </row>
    <row r="42">
      <c r="A42" s="49" t="inlineStr">
        <is>
          <t>2023 Overtime Rate (if applicable)</t>
        </is>
      </c>
      <c r="B42" s="50" t="inlineStr">
        <is>
          <t>Number</t>
        </is>
      </c>
      <c r="C42" s="51" t="inlineStr">
        <is>
          <t>For nonexempt employees, the dollar value of their compensation per hour after they have worked the minimum number of hours required by their employment agreement.</t>
        </is>
      </c>
    </row>
    <row r="43">
      <c r="A43" s="49" t="inlineStr">
        <is>
          <t>2023 Hours (if hourly)</t>
        </is>
      </c>
      <c r="B43" s="50" t="inlineStr">
        <is>
          <t>Number</t>
        </is>
      </c>
      <c r="C43" s="51" t="inlineStr">
        <is>
          <t>Total number of hours worked during 2023</t>
        </is>
      </c>
    </row>
    <row r="44">
      <c r="A44" s="49" t="inlineStr">
        <is>
          <t>2023 Bonus</t>
        </is>
      </c>
      <c r="B44" s="50" t="inlineStr">
        <is>
          <t>Number</t>
        </is>
      </c>
      <c r="C44" s="51" t="inlineStr">
        <is>
          <t>Total dollar value of bonus payments earned for the employee during 2023 that has not been paid yet.</t>
        </is>
      </c>
    </row>
    <row r="45">
      <c r="A45" s="49" t="inlineStr">
        <is>
          <t>2023 Other Comp (if applicable)</t>
        </is>
      </c>
      <c r="B45" s="50" t="inlineStr">
        <is>
          <t>Number</t>
        </is>
      </c>
      <c r="C45" s="51" t="inlineStr">
        <is>
          <t>Total dollar value of other forms of compensation earned for the employee during 2023 that has not been paid yet.</t>
        </is>
      </c>
    </row>
    <row r="46">
      <c r="A46" s="49" t="inlineStr">
        <is>
          <t>2023 Total Comp</t>
        </is>
      </c>
      <c r="B46" s="50" t="inlineStr">
        <is>
          <t>Number</t>
        </is>
      </c>
      <c r="C46" s="51" t="inlineStr">
        <is>
          <t>Total dollar value all compensation earned for the employee during 2023.</t>
        </is>
      </c>
    </row>
    <row r="47">
      <c r="A47" s="49" t="inlineStr">
        <is>
          <t>Medical Plan Eligible?</t>
        </is>
      </c>
      <c r="B47" s="50" t="inlineStr">
        <is>
          <t>Boolean</t>
        </is>
      </c>
      <c r="C47" s="51" t="inlineStr">
        <is>
          <t>Denotes whether the employee is eligible for medical coverage.</t>
        </is>
      </c>
    </row>
    <row r="48">
      <c r="A48" s="49" t="inlineStr">
        <is>
          <t>MEDICAL Dependent Status</t>
        </is>
      </c>
      <c r="B48" s="53" t="inlineStr">
        <is>
          <t>[TBD]</t>
        </is>
      </c>
      <c r="C48" s="52" t="inlineStr">
        <is>
          <t>[TBD - Pending update from Nine Dean]</t>
        </is>
      </c>
    </row>
    <row r="49">
      <c r="A49" s="49" t="inlineStr">
        <is>
          <t>Medical Plan (please indicate plan selection)</t>
        </is>
      </c>
      <c r="B49" s="50" t="inlineStr">
        <is>
          <t>Text</t>
        </is>
      </c>
      <c r="C49" s="51" t="inlineStr">
        <is>
          <t>A description of the employee's chosen healthcare plan</t>
        </is>
      </c>
    </row>
    <row r="50">
      <c r="A50" s="49" t="inlineStr">
        <is>
          <t>Total Premium</t>
        </is>
      </c>
      <c r="B50" s="53" t="inlineStr">
        <is>
          <t>[TBD]</t>
        </is>
      </c>
      <c r="C50" s="52" t="inlineStr">
        <is>
          <t>[TBD - Pending update from Nine Dean, is this the premium amount to be paid or something else]</t>
        </is>
      </c>
    </row>
    <row r="51">
      <c r="A51" s="49" t="inlineStr">
        <is>
          <t>Employer Contribution</t>
        </is>
      </c>
      <c r="B51" s="50" t="inlineStr">
        <is>
          <t>Number</t>
        </is>
      </c>
      <c r="C51" s="51" t="inlineStr">
        <is>
          <t>The amount that the acquisition target contributes to the healthcare costs of an individual employee.</t>
        </is>
      </c>
    </row>
    <row r="52">
      <c r="A52" s="49" t="inlineStr">
        <is>
          <t>HSA/FSA Employer Contribution</t>
        </is>
      </c>
      <c r="B52" s="50" t="inlineStr">
        <is>
          <t>Number</t>
        </is>
      </c>
      <c r="C52" s="51" t="inlineStr">
        <is>
          <t>The amount that the acquisition target contributes to the HSA or FSA account of an individual employee.</t>
        </is>
      </c>
    </row>
    <row r="53">
      <c r="A53" s="49" t="inlineStr">
        <is>
          <t>Enrollment Count</t>
        </is>
      </c>
      <c r="B53" s="53" t="inlineStr">
        <is>
          <t>[TBD]</t>
        </is>
      </c>
      <c r="C53" s="52" t="inlineStr">
        <is>
          <t>[TBD - Pending update from Nine Dean]</t>
        </is>
      </c>
    </row>
    <row r="54">
      <c r="A54" s="49" t="inlineStr">
        <is>
          <t>Medical Monthly Employee Deduction</t>
        </is>
      </c>
      <c r="B54" s="53" t="inlineStr">
        <is>
          <t>[TBD]</t>
        </is>
      </c>
      <c r="C54" s="52" t="inlineStr">
        <is>
          <t>[TBD - Pending update from Nine Dean]</t>
        </is>
      </c>
    </row>
    <row r="55">
      <c r="A55" s="49" t="inlineStr">
        <is>
          <t>Reason for Waiving Coverage</t>
        </is>
      </c>
      <c r="B55" s="53" t="inlineStr">
        <is>
          <t>[TBD]</t>
        </is>
      </c>
      <c r="C55" s="52" t="inlineStr">
        <is>
          <t>[TBD - Pending update from Nine Dean]</t>
        </is>
      </c>
    </row>
    <row r="56">
      <c r="A56" s="49" t="inlineStr">
        <is>
          <t>Paid Sick Leave Hours</t>
        </is>
      </c>
      <c r="B56" s="50" t="inlineStr">
        <is>
          <t>Number</t>
        </is>
      </c>
      <c r="C56" s="51" t="inlineStr">
        <is>
          <t>Total number of hours in which the employee can take time off for sickness.</t>
        </is>
      </c>
    </row>
    <row r="57">
      <c r="A57" s="49" t="inlineStr">
        <is>
          <t>Paid Time Off (separate from PSL) (includes holidays)</t>
        </is>
      </c>
      <c r="B57" s="50" t="inlineStr">
        <is>
          <t>Number</t>
        </is>
      </c>
      <c r="C57" s="51" t="inlineStr">
        <is>
          <t>Total number of hours that an employee is excused from work for a company-recognized holiday.</t>
        </is>
      </c>
    </row>
    <row r="58">
      <c r="A58" s="49" t="inlineStr">
        <is>
          <t>Additional Personal/Flexible Paid Time Off (if applicable)</t>
        </is>
      </c>
      <c r="B58" s="50" t="inlineStr">
        <is>
          <t>Number</t>
        </is>
      </c>
      <c r="C58" s="51" t="inlineStr">
        <is>
          <t>Additional hours permitted that an employee can be excused from work other than sickness and holidays.</t>
        </is>
      </c>
    </row>
  </sheetData>
  <autoFilter ref="A1:C58"/>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40" customWidth="1" min="2" max="2"/>
    <col width="12" customWidth="1" min="3" max="3"/>
    <col width="30" customWidth="1" min="4" max="4"/>
    <col width="60" customWidth="1" min="5" max="5"/>
  </cols>
  <sheetData>
    <row r="1">
      <c r="A1" t="inlineStr">
        <is>
          <t>Nine Dean — simulated census: data provenance</t>
        </is>
      </c>
    </row>
    <row r="2">
      <c r="A2" t="inlineStr">
        <is>
          <t>generated 2026-07-20 00:25 from the reference warehouse (public.ext_*)</t>
        </is>
      </c>
    </row>
    <row r="4">
      <c r="A4" t="inlineStr">
        <is>
          <t>source</t>
        </is>
      </c>
      <c r="B4" t="inlineStr">
        <is>
          <t>warehouse table</t>
        </is>
      </c>
      <c r="C4" t="inlineStr">
        <is>
          <t>rows</t>
        </is>
      </c>
      <c r="D4" t="inlineStr">
        <is>
          <t>vintage</t>
        </is>
      </c>
      <c r="E4" t="inlineStr">
        <is>
          <t>feeds</t>
        </is>
      </c>
    </row>
    <row r="5">
      <c r="A5" t="inlineStr">
        <is>
          <t>MIT · Living Wage Calculator</t>
        </is>
      </c>
      <c r="B5" t="inlineStr">
        <is>
          <t>ext_mit_expense</t>
        </is>
      </c>
      <c r="C5" t="inlineStr">
        <is>
          <t>301,824</t>
        </is>
      </c>
      <c r="D5" t="inlineStr">
        <is>
          <t>mit:livingwage.mit.edu:2026</t>
        </is>
      </c>
      <c r="E5" t="inlineStr">
        <is>
          <t>Engine A basket components</t>
        </is>
      </c>
    </row>
    <row r="6">
      <c r="A6" t="inlineStr">
        <is>
          <t>MIT · Living Wage Calculator</t>
        </is>
      </c>
      <c r="B6" t="inlineStr">
        <is>
          <t>ext_mit_living_wage</t>
        </is>
      </c>
      <c r="C6" t="inlineStr">
        <is>
          <t>113,184</t>
        </is>
      </c>
      <c r="D6" t="inlineStr">
        <is>
          <t>mit:livingwage.mit.edu:2026</t>
        </is>
      </c>
      <c r="E6" t="inlineStr">
        <is>
          <t>Engine A living-wage reference</t>
        </is>
      </c>
    </row>
    <row r="7">
      <c r="A7" t="inlineStr">
        <is>
          <t>EPI · Family Budget Calculator</t>
        </is>
      </c>
      <c r="B7" t="inlineStr">
        <is>
          <t>ext_epi_cost</t>
        </is>
      </c>
      <c r="C7" t="inlineStr">
        <is>
          <t>502,880</t>
        </is>
      </c>
      <c r="D7" t="inlineStr">
        <is>
          <t>epi:2026</t>
        </is>
      </c>
      <c r="E7" t="inlineStr">
        <is>
          <t>Engine A basket (food, childcare, medical, housing, other)</t>
        </is>
      </c>
    </row>
    <row r="8">
      <c r="A8" t="inlineStr">
        <is>
          <t>EPI · Family Budget Calculator</t>
        </is>
      </c>
      <c r="B8" t="inlineStr">
        <is>
          <t>ext_epi_county</t>
        </is>
      </c>
      <c r="C8" t="inlineStr">
        <is>
          <t>3,143</t>
        </is>
      </c>
      <c r="D8" t="inlineStr">
        <is>
          <t>epi:2026</t>
        </is>
      </c>
      <c r="E8" t="inlineStr">
        <is>
          <t>Engine A county coverage</t>
        </is>
      </c>
    </row>
    <row r="9">
      <c r="A9" t="inlineStr">
        <is>
          <t>ACS · B25064 median gross rent</t>
        </is>
      </c>
      <c r="B9" t="inlineStr">
        <is>
          <t>ext_acs</t>
        </is>
      </c>
      <c r="C9" t="inlineStr">
        <is>
          <t>3,222</t>
        </is>
      </c>
      <c r="D9" t="inlineStr">
        <is>
          <t>acs:5y2023-B25064</t>
        </is>
      </c>
      <c r="E9" t="inlineStr">
        <is>
          <t>Engine A housing candidate</t>
        </is>
      </c>
    </row>
    <row r="10">
      <c r="A10" t="inlineStr">
        <is>
          <t>CNT · H+T Affordability Index</t>
        </is>
      </c>
      <c r="B10" t="inlineStr">
        <is>
          <t>ext_cnt</t>
        </is>
      </c>
      <c r="C10" t="inlineStr">
        <is>
          <t>3,144</t>
        </is>
      </c>
      <c r="D10" t="inlineStr">
        <is>
          <t>cnt:2022</t>
        </is>
      </c>
      <c r="E10" t="inlineStr">
        <is>
          <t>Engine A transportation (override, not MAX)</t>
        </is>
      </c>
    </row>
    <row r="11">
      <c r="A11" t="inlineStr">
        <is>
          <t>BLS OEWS · state wages</t>
        </is>
      </c>
      <c r="B11" t="inlineStr">
        <is>
          <t>ext_bls_oews_state_wage</t>
        </is>
      </c>
      <c r="C11" t="inlineStr">
        <is>
          <t>35,427</t>
        </is>
      </c>
      <c r="D11" t="inlineStr">
        <is>
          <t>May2024</t>
        </is>
      </c>
      <c r="E11" t="inlineStr">
        <is>
          <t>wages by state+SOC (p10/p25/median); prevailing-wage overlay</t>
        </is>
      </c>
    </row>
    <row r="12">
      <c r="A12" t="inlineStr">
        <is>
          <t>O*NET · SOC occupations</t>
        </is>
      </c>
      <c r="B12" t="inlineStr">
        <is>
          <t>ext_onet_soc_occupation</t>
        </is>
      </c>
      <c r="C12" t="inlineStr">
        <is>
          <t>1,016</t>
        </is>
      </c>
      <c r="D12" t="inlineStr">
        <is>
          <t>O*NET 29.0</t>
        </is>
      </c>
      <c r="E12" t="inlineStr">
        <is>
          <t>job titles and SOC codes</t>
        </is>
      </c>
    </row>
    <row r="13">
      <c r="A13" t="inlineStr">
        <is>
          <t>O*NET · SOC alternate titles</t>
        </is>
      </c>
      <c r="B13" t="inlineStr">
        <is>
          <t>ext_onet_soc_alt_title</t>
        </is>
      </c>
      <c r="C13" t="inlineStr">
        <is>
          <t>55,119</t>
        </is>
      </c>
      <c r="D13" t="inlineStr">
        <is>
          <t>O*NET 29.0</t>
        </is>
      </c>
      <c r="E13" t="inlineStr">
        <is>
          <t>title → SOC matching</t>
        </is>
      </c>
    </row>
    <row r="14">
      <c r="A14" t="inlineStr">
        <is>
          <t>Census · ZCTA↔county crosswalk</t>
        </is>
      </c>
      <c r="B14" t="inlineStr">
        <is>
          <t>ext_census_zcta_county</t>
        </is>
      </c>
      <c r="C14" t="inlineStr">
        <is>
          <t>23,355</t>
        </is>
      </c>
      <c r="D14" t="inlineStr">
        <is>
          <t>census_zcta:2020</t>
        </is>
      </c>
      <c r="E14" t="inlineStr">
        <is>
          <t>residence ZIP → county</t>
        </is>
      </c>
    </row>
    <row r="15">
      <c r="A15" t="inlineStr">
        <is>
          <t>Census · county gazetteer</t>
        </is>
      </c>
      <c r="B15" t="inlineStr">
        <is>
          <t>ext_census_county</t>
        </is>
      </c>
      <c r="C15" t="inlineStr">
        <is>
          <t>3,222</t>
        </is>
      </c>
      <c r="D15" t="inlineStr">
        <is>
          <t>census_county:2024</t>
        </is>
      </c>
      <c r="E15" t="inlineStr">
        <is>
          <t>county names / states</t>
        </is>
      </c>
    </row>
    <row r="16">
      <c r="A16" t="inlineStr">
        <is>
          <t>A Better Balance · PSL statutes</t>
        </is>
      </c>
      <c r="B16" t="inlineStr">
        <is>
          <t>ext_abb_psl_law</t>
        </is>
      </c>
      <c r="C16" t="inlineStr">
        <is>
          <t>42</t>
        </is>
      </c>
      <c r="D16" t="inlineStr">
        <is>
          <t>abb:2026</t>
        </is>
      </c>
      <c r="E16" t="inlineStr">
        <is>
          <t>Engine B floors (cap / preempted / no-cap)</t>
        </is>
      </c>
    </row>
    <row r="17">
      <c r="A17" t="inlineStr">
        <is>
          <t>KFF · EHBS benchmarks</t>
        </is>
      </c>
      <c r="B17" t="inlineStr">
        <is>
          <t>ext_kff_ehbs_health_benchmarks</t>
        </is>
      </c>
      <c r="C17" t="inlineStr">
        <is>
          <t>3</t>
        </is>
      </c>
      <c r="D17" t="inlineStr">
        <is>
          <t>kff_ehbs:2025</t>
        </is>
      </c>
      <c r="E17" t="inlineStr">
        <is>
          <t>Engine C employer-contribution thresholds</t>
        </is>
      </c>
    </row>
    <row r="18">
      <c r="A18" t="inlineStr">
        <is>
          <t>Peterson-KFF · OOP cost-sharing</t>
        </is>
      </c>
      <c r="B18" t="inlineStr">
        <is>
          <t>ext_peterson_kff_oop_costsharing</t>
        </is>
      </c>
      <c r="C18" t="inlineStr">
        <is>
          <t>2</t>
        </is>
      </c>
      <c r="D18" t="inlineStr">
        <is>
          <t>live scrape; page modified 2026-02-11</t>
        </is>
      </c>
      <c r="E18" t="inlineStr">
        <is>
          <t>Engine C out-of-pocket exposure</t>
        </is>
      </c>
    </row>
    <row r="20">
      <c r="A20" t="inlineStr">
        <is>
          <t>PolicyEngine US</t>
        </is>
      </c>
      <c r="B20" t="inlineStr">
        <is>
          <t>in-process library (not a warehouse table)</t>
        </is>
      </c>
      <c r="C20" t="inlineStr">
        <is>
          <t>—</t>
        </is>
      </c>
      <c r="D20" t="inlineStr">
        <is>
          <t>policyengine-us 1.745.0</t>
        </is>
      </c>
      <c r="E20" t="inlineStr">
        <is>
          <t>Engine A federal + state + payroll + local tax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Lanier Mason</dc:creator>
  <dcterms:created xmlns:dcterms="http://purl.org/dc/terms/" xmlns:xsi="http://www.w3.org/2001/XMLSchema-instance" xsi:type="dcterms:W3CDTF">2026-06-16T09:39:13Z</dcterms:created>
  <dcterms:modified xmlns:dcterms="http://purl.org/dc/terms/" xmlns:xsi="http://www.w3.org/2001/XMLSchema-instance" xsi:type="dcterms:W3CDTF">2026-07-19T21:25:52Z</dcterms:modified>
  <cp:lastModifiedBy>Lanier Mason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0x010100D8C8A9E5CAB30949A5C5B7DF76A4C27B</vt:lpwstr>
  </property>
  <property name="MediaServiceImageTags" fmtid="{D5CDD505-2E9C-101B-9397-08002B2CF9AE}" pid="3">
    <vt:lpwstr xmlns:vt="http://schemas.openxmlformats.org/officeDocument/2006/docPropsVTypes"/>
  </property>
  <property name="xd_ProgID" fmtid="{D5CDD505-2E9C-101B-9397-08002B2CF9AE}" pid="4">
    <vt:lpwstr xmlns:vt="http://schemas.openxmlformats.org/officeDocument/2006/docPropsVTypes"/>
  </property>
  <property name="_SourceUrl" fmtid="{D5CDD505-2E9C-101B-9397-08002B2CF9AE}" pid="5">
    <vt:lpwstr xmlns:vt="http://schemas.openxmlformats.org/officeDocument/2006/docPropsVTypes"/>
  </property>
  <property name="_SharedFileIndex"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TemplateUrl" fmtid="{D5CDD505-2E9C-101B-9397-08002B2CF9AE}" pid="8">
    <vt:lpwstr xmlns:vt="http://schemas.openxmlformats.org/officeDocument/2006/docPropsVTypes"/>
  </property>
  <property name="_ExtendedDescription" fmtid="{D5CDD505-2E9C-101B-9397-08002B2CF9AE}" pid="9">
    <vt:lpwstr xmlns:vt="http://schemas.openxmlformats.org/officeDocument/2006/docPropsVTypes"/>
  </property>
  <property name="TriggerFlowInfo" fmtid="{D5CDD505-2E9C-101B-9397-08002B2CF9AE}" pid="10">
    <vt:lpwstr xmlns:vt="http://schemas.openxmlformats.org/officeDocument/2006/docPropsVTypes"/>
  </property>
  <property name="xd_Signature" fmtid="{D5CDD505-2E9C-101B-9397-08002B2CF9AE}" pid="11">
    <vt:bool xmlns:vt="http://schemas.openxmlformats.org/officeDocument/2006/docPropsVTypes">0</vt:bool>
  </property>
</Properties>
</file>